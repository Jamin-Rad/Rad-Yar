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bd2257059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 2026" sheetId="1" r:id="R6db90931fb154ed3"/>
    <x:sheet xmlns:r="http://schemas.openxmlformats.org/officeDocument/2006/relationships" name="Februar 2026" sheetId="2" r:id="R924f64fa000b4748"/>
    <x:sheet xmlns:r="http://schemas.openxmlformats.org/officeDocument/2006/relationships" name="März" sheetId="3" r:id="R4aaa935c68f8425b"/>
    <x:sheet xmlns:r="http://schemas.openxmlformats.org/officeDocument/2006/relationships" name="April" sheetId="4" r:id="R9d53697dac444604"/>
    <x:sheet xmlns:r="http://schemas.openxmlformats.org/officeDocument/2006/relationships" name="Mai" sheetId="5" r:id="Rc2a7d4f3c5fa49aa"/>
    <x:sheet xmlns:r="http://schemas.openxmlformats.org/officeDocument/2006/relationships" name="Juni" sheetId="6" r:id="R0f701142f118473c"/>
    <x:sheet xmlns:r="http://schemas.openxmlformats.org/officeDocument/2006/relationships" name="Bericht" sheetId="7" r:id="R66d08f612cbd437d"/>
    <x:sheet xmlns:r="http://schemas.openxmlformats.org/officeDocument/2006/relationships" name="Privat Budget" sheetId="8" r:id="Rf51c931bee2e4a4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<x:sst xmlns:x="http://schemas.openxmlformats.org/spreadsheetml/2006/main">
  <x:si>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Lebensmittel</x:t>
  </x:si>
  <x:si>
    <x:t xml:space="preserve">Aldi</x:t>
  </x:si>
  <x:si>
    <x:t xml:space="preserve">Lidl</x:t>
  </x:si>
  <x:si>
    <x:t xml:space="preserve">Bonus</x:t>
  </x:si>
  <x:si>
    <x:t xml:space="preserve">Edeka/Rewe/Netto</x:t>
  </x:si>
  <x:si>
    <x:t xml:space="preserve">DM</x:t>
  </x:si>
  <x:si>
    <x:t xml:space="preserve">Türkei</x:t>
  </x:si>
  <x:si>
    <x:t xml:space="preserve">Einnahmen</x:t>
  </x:si>
  <x:si>
    <x:t xml:space="preserve">Kleidung</x:t>
  </x:si>
  <x:si>
    <x:t xml:space="preserve">Supermarkt</x:t>
  </x:si>
  <x:si>
    <x:t xml:space="preserve">Fammilienkasse</x:t>
  </x:si>
  <x:si>
    <x:t xml:space="preserve">Takko</x:t>
  </x:si>
  <x:si>
    <x:t xml:space="preserve">Ausgaben</x:t>
  </x:si>
  <x:si>
    <x:t xml:space="preserve">Ernstings Family</x:t>
  </x:si>
  <x:si>
    <x:t xml:space="preserve">Bilanz</x:t>
  </x:si>
  <x:si>
    <x:t xml:space="preserve">Adler</x:t>
  </x:si>
  <x:si>
    <x:t xml:space="preserve">Online</x:t>
  </x:si>
  <x:si>
    <x:t xml:space="preserve">Amazon</x:t>
  </x:si>
  <x:si>
    <x:t xml:space="preserve">AliExpress</x:t>
  </x:si>
  <x:si>
    <x:t xml:space="preserve">Temu</x:t>
  </x:si>
  <x:si>
    <x:t xml:space="preserve">Restaurant</x:t>
  </x:si>
  <x:si>
    <x:t xml:space="preserve">Eis/Coffee/Bäckerei</x:t>
  </x:si>
  <x:si>
    <x:t xml:space="preserve">Essen</x:t>
  </x:si>
  <x:si>
    <x:t xml:space="preserve">Krankenhaus</x:t>
  </x:si>
  <x:si>
    <x:t xml:space="preserve">Auto</x:t>
  </x:si>
  <x:si>
    <x:t xml:space="preserve">Tanken</x:t>
  </x:si>
  <x:si>
    <x:t xml:space="preserve">Strom</x:t>
  </x:si>
  <x:si>
    <x:t xml:space="preserve">Parekn</x:t>
  </x:si>
  <x:si>
    <x:t xml:space="preserve">Waschen</x:t>
  </x:si>
  <x:si>
    <x:t xml:space="preserve">Reparatur/Service</x:t>
  </x:si>
  <x:si>
    <x:t xml:space="preserve">Leasing</x:t>
  </x:si>
  <x:si>
    <x:t xml:space="preserve">Bus-Ticket</x:t>
  </x:si>
  <x:si>
    <x:t xml:space="preserve">ADAC</x:t>
  </x:si>
  <x:si>
    <x:t xml:space="preserve">Bußgeld</x:t>
  </x:si>
  <x:si>
    <x:t xml:space="preserve">Zu Hause</x:t>
  </x:si>
  <x:si>
    <x:t xml:space="preserve">Miete</x:t>
  </x:si>
  <x:si>
    <x:t xml:space="preserve">Darlehen</x:t>
  </x:si>
  <x:si>
    <x:t xml:space="preserve">Internet</x:t>
  </x:si>
  <x:si>
    <x:t xml:space="preserve">Netflix</x:t>
  </x:si>
  <x:si>
    <x:t xml:space="preserve">Fisch</x:t>
  </x:si>
  <x:si>
    <x:t xml:space="preserve">Haushaltgerät</x:t>
  </x:si>
  <x:si>
    <x:t xml:space="preserve">Papierkram</x:t>
  </x:si>
  <x:si>
    <x:t xml:space="preserve">Jamin</x:t>
  </x:si>
  <x:si>
    <x:t xml:space="preserve">Konto</x:t>
  </x:si>
  <x:si>
    <x:t xml:space="preserve">Gothaer</x:t>
  </x:si>
  <x:si>
    <x:t xml:space="preserve">SIM-Karte</x:t>
  </x:si>
  <x:si>
    <x:t xml:space="preserve">Frisur</x:t>
  </x:si>
  <x:si>
    <x:t xml:space="preserve">Sonst</x:t>
  </x:si>
  <x:si>
    <x:t xml:space="preserve">Medikamente</x:t>
  </x:si>
  <x:si>
    <x:t xml:space="preserve">Versicherung</x:t>
  </x:si>
  <x:si>
    <x:t xml:space="preserve">Fatima</x:t>
  </x:si>
  <x:si>
    <x:t xml:space="preserve">Iphone 16</x:t>
  </x:si>
  <x:si>
    <x:t xml:space="preserve">Gift</x:t>
  </x:si>
  <x:si>
    <x:t xml:space="preserve">Cosmetics</x:t>
  </x:si>
  <x:si>
    <x:t xml:space="preserve">Mobin</x:t>
  </x:si>
  <x:si>
    <x:t xml:space="preserve">Schule</x:t>
  </x:si>
  <x:si>
    <x:t xml:space="preserve">Taschengeld</x:t>
  </x:si>
  <x:si>
    <x:t xml:space="preserve">Schulsachen</x:t>
  </x:si>
  <x:si>
    <x:t xml:space="preserve">Mobina</x:t>
  </x:si>
  <x:si>
    <x:t xml:space="preserve">Kindergarten</x:t>
  </x:si>
  <x:si>
    <x:t xml:space="preserve">Spielzeug</x:t>
  </x:si>
  <x:si>
    <x:t xml:space="preserve">Meine Eltern</x:t>
  </x:si>
  <x:si>
    <x:t xml:space="preserve">Apotheke</x:t>
  </x:si>
  <x:si>
    <x:t xml:space="preserve">Hossein</x:t>
  </x:si>
  <x:si>
    <x:t xml:space="preserve">Fatima Eltern</x:t>
  </x:si>
  <x:si>
    <x:t xml:space="preserve">Mohsen</x:t>
  </x:si>
  <x:si>
    <x:t xml:space="preserve">Moschee</x:t>
  </x:si>
  <x:si>
    <x:t xml:space="preserve">Nazri</x:t>
  </x:si>
  <x:si>
    <x:t xml:space="preserve">Ausflug</x:t>
  </x:si>
  <x:si>
    <x:t xml:space="preserve">Milan</x:t>
  </x:si>
  <x:si>
    <x:t xml:space="preserve">Hotel</x:t>
  </x:si>
  <x:si>
    <x:t xml:space="preserve">Flugzeug</x:t>
  </x:si>
  <x:si>
    <x:t xml:space="preserve">Summe</x:t>
  </x:si>
  <x:si>
    <x:t xml:space="preserve">Aufenthalt </x:t>
  </x:si>
  <x:si>
    <x:t xml:space="preserve">Airbnb</x:t>
  </x:si>
  <x:si>
    <x:t xml:space="preserve">Coffee/Eis</x:t>
  </x:si>
  <x:si>
    <x:t xml:space="preserve">Transport</x:t>
  </x:si>
  <x:si>
    <x:t xml:space="preserve">Flugticket </x:t>
  </x:si>
  <x:si>
    <x:t xml:space="preserve">Bus</x:t>
  </x:si>
  <x:si>
    <x:t xml:space="preserve">Automiete</x:t>
  </x:si>
  <x:si>
    <x:t xml:space="preserve">Benzin/Strom</x:t>
  </x:si>
  <x:si>
    <x:t xml:space="preserve">Park</x:t>
  </x:si>
  <x:si>
    <x:t xml:space="preserve">Sonstige </x:t>
  </x:si>
  <x:si>
    <x:t xml:space="preserve">Ticket</x:t>
  </x:si>
  <x:si>
    <x:t xml:space="preserve">Spiel</x:t>
  </x:si>
  <x:si>
    <x:t xml:space="preserve">Apotheke, Versicherung</x:t>
  </x:si>
  <x:si>
    <x:t xml:space="preserve">Flugticket</x:t>
  </x:si>
  <x:si>
    <x:t xml:space="preserve">Aufenthalt</x:t>
  </x:si>
  <x:si>
    <x:t xml:space="preserve">Iran</x:t>
  </x:si>
  <x:si>
    <x:t xml:space="preserve">Deichman</x:t>
  </x:si>
  <x:si>
    <x:t xml:space="preserve">Fateme ab 20.05. eingetragen</x:t>
  </x:si>
  <x:si>
    <x:t xml:space="preserve">Sport</x:t>
  </x:si>
  <x:si>
    <x:t xml:space="preserve">Mosche</x:t>
  </x:si>
  <x:si>
    <x:t xml:space="preserve">flug</x:t>
  </x:si>
  <x:si>
    <x:t xml:space="preserve">Einkommen</x:t>
  </x:si>
  <x:si>
    <x:t xml:space="preserve">Ausgabe</x:t>
  </x:si>
  <x:si>
    <x:t xml:space="preserve">Sparen</x:t>
  </x:si>
  <x:si>
    <x:t xml:space="preserve">Restaurant </x:t>
  </x:si>
  <x:si>
    <x:t xml:space="preserve">Juni</x:t>
  </x:si>
  <x:si>
    <x:t xml:space="preserve">Juli</x:t>
  </x:si>
  <x:si>
    <x:t xml:space="preserve">August</x:t>
  </x:si>
  <x:si>
    <x:t xml:space="preserve">September</x:t>
  </x:si>
  <x:si>
    <x:t xml:space="preserve">Oktober</x:t>
  </x:si>
  <x:si>
    <x:t xml:space="preserve">November</x:t>
  </x:si>
  <x:si>
    <x:t xml:space="preserve">Dezember</x:t>
  </x:si>
  <x:si>
    <x:t xml:space="preserve">Mitte</x:t>
  </x:si>
</x:sst>
</file>

<file path=xl/styles.xml><?xml version="1.0" encoding="utf-8"?>
<x:styleSheet xmlns:x="http://schemas.openxmlformats.org/spreadsheetml/2006/main">
  <x:numFmts count="6">
    <x:numFmt numFmtId="6" formatCode="#,##0\ &quot;€&quot;;[Red]\-#,##0\ &quot;€&quot;"/>
    <x:numFmt numFmtId="8" formatCode="#,##0.00\ &quot;€&quot;;[Red]\-#,##0.00\ &quot;€&quot;"/>
    <x:numFmt numFmtId="164" formatCode="#,##0\ &quot;€&quot;"/>
    <x:numFmt numFmtId="165" formatCode="#,##0.00\ [$€-407]"/>
    <x:numFmt numFmtId="200" formatCode="€#,##0"/>
    <x:numFmt numFmtId="201" formatCode="@"/>
  </x:numFmts>
  <x:fonts count="8">
    <x:font>
      <x:sz val="11"/>
      <x:color theme="1"/>
      <x:name val="Aptos Narrow"/>
    </x:font>
    <x:font>
      <x:b/>
      <x:sz val="11"/>
      <x:color theme="1"/>
      <x:name val="Aptos Narrow"/>
    </x:font>
    <x:font>
      <x:b/>
      <x:i/>
      <x:sz val="11"/>
      <x:color rgb="FF00B050"/>
      <x:name val="Aptos Narrow"/>
    </x:font>
    <x:font>
      <x:b/>
      <x:i/>
      <x:sz val="11"/>
      <x:color theme="7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  <x:font>
      <x:b/>
      <x:sz val="18"/>
      <x:color rgb="FFFFFFFF"/>
      <x:name val="Aptos Narrow"/>
    </x:font>
    <x:font>
      <x:b/>
      <x:sz val="11"/>
      <x:color rgb="FF0F172A"/>
      <x:name val="Aptos Narrow"/>
    </x:font>
  </x:fonts>
  <x:fills count="16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theme="9"/>
      </x:patternFill>
    </x:fill>
    <x:fill>
      <x:patternFill patternType="solid">
        <x:fgColor theme="7" tint="0.39998"/>
      </x:patternFill>
    </x:fill>
    <x:fill>
      <x:patternFill patternType="solid">
        <x:fgColor theme="9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8" tint="-0.24998"/>
      </x:patternFill>
    </x:fill>
    <x:fill>
      <x:patternFill patternType="solid">
        <x:fgColor rgb="FFFFC000"/>
      </x:patternFill>
    </x:fill>
    <x:fill>
      <x:patternFill patternType="solid">
        <x:fgColor rgb="FF0F172A"/>
      </x:patternFill>
    </x:fill>
    <x:fill>
      <x:patternFill patternType="solid">
        <x:fgColor rgb="FFF97316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EFCE8"/>
      </x:patternFill>
    </x:fill>
    <x:fill>
      <x:patternFill patternType="solid">
        <x:fgColor rgb="FFE2E8F0"/>
      </x:patternFill>
    </x:fill>
  </x:fills>
  <x:borders count="3">
    <x:border/>
    <x:border>
      <x:left style="thin">
        <x:color rgb="FFFCD34D"/>
      </x:left>
      <x:right style="thin">
        <x:color rgb="FFFCD34D"/>
      </x:right>
      <x:top style="thin">
        <x:color rgb="FFFCD34D"/>
      </x:top>
      <x:bottom style="thin">
        <x:color rgb="FFFCD34D"/>
      </x:bottom>
    </x:border>
    <x:border>
      <x:left style="thin">
        <x:color rgb="FFFDE68A"/>
      </x:left>
      <x:right style="thin">
        <x:color rgb="FFFDE68A"/>
      </x:right>
      <x:top style="thin">
        <x:color rgb="FFFDE68A"/>
      </x:top>
      <x:bottom style="thin">
        <x:color rgb="FFFDE68A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Fill="1" applyAlignment="1">
      <x:alignment vertical="center"/>
    </x:xf>
    <x:xf numFmtId="0" fontId="0" fillId="0" borderId="0" xfId="0" applyAlignment="1">
      <x:alignment vertical="center"/>
    </x:xf>
    <x:xf numFmtId="0" fontId="0" fillId="2" borderId="0" xfId="0" applyFill="1"/>
    <x:xf numFmtId="6" fontId="0" fillId="2" borderId="0" xfId="0" applyNumberFormat="1" applyFill="1" applyAlignment="1">
      <x:alignment horizontal="center"/>
    </x:xf>
    <x:xf numFmtId="6" fontId="0" fillId="0" borderId="0" xfId="0" applyNumberFormat="1" applyAlignment="1">
      <x:alignment horizontal="center"/>
    </x:xf>
    <x:xf numFmtId="6" fontId="0" fillId="0" borderId="0" xfId="0" applyNumberFormat="1" applyAlignment="1">
      <x:alignment vertical="center"/>
    </x:xf>
    <x:xf numFmtId="0" fontId="1" fillId="3" borderId="0" xfId="0" applyFont="1" applyFill="1"/>
    <x:xf numFmtId="8" fontId="0" fillId="3" borderId="0" xfId="0" applyNumberFormat="1" applyFill="1"/>
    <x:xf numFmtId="8" fontId="0" fillId="0" borderId="0" xfId="0" applyNumberFormat="1" applyAlignment="1">
      <x:alignment horizontal="center"/>
    </x:xf>
    <x:xf numFmtId="0" fontId="0" fillId="4" borderId="0" xfId="0" applyFill="1"/>
    <x:xf numFmtId="8" fontId="1" fillId="4" borderId="0" xfId="0" applyNumberFormat="1" applyFont="1" applyFill="1" applyAlignment="1">
      <x:alignment horizontal="center"/>
    </x:xf>
    <x:xf numFmtId="0" fontId="0" fillId="0" borderId="0" xfId="0" applyAlignment="1">
      <x:alignment horizontal="center"/>
    </x:xf>
    <x:xf numFmtId="164" fontId="0" fillId="0" borderId="0" xfId="0" applyNumberFormat="1" applyAlignment="1">
      <x:alignment horizontal="center"/>
    </x:xf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left" vertical="center"/>
    </x:xf>
    <x:xf numFmtId="0" fontId="4" fillId="2" borderId="0" xfId="0" applyFont="1" applyFill="1"/>
    <x:xf numFmtId="165" fontId="4" fillId="2" borderId="0" xfId="0" applyNumberFormat="1" applyFont="1" applyFill="1" applyAlignment="1">
      <x:alignment horizontal="center"/>
    </x:xf>
    <x:xf numFmtId="0" fontId="4" fillId="6" borderId="0" xfId="0" applyFont="1" applyFill="1"/>
    <x:xf numFmtId="165" fontId="4" fillId="6" borderId="0" xfId="0" applyNumberFormat="1" applyFont="1" applyFill="1" applyAlignment="1">
      <x:alignment horizontal="center"/>
    </x:xf>
    <x:xf numFmtId="0" fontId="4" fillId="7" borderId="0" xfId="0" applyFont="1" applyFill="1"/>
    <x:xf numFmtId="165" fontId="4" fillId="7" borderId="0" xfId="0" applyNumberFormat="1" applyFont="1" applyFill="1" applyAlignment="1">
      <x:alignment horizontal="center"/>
    </x:xf>
    <x:xf numFmtId="0" fontId="4" fillId="8" borderId="0" xfId="0" applyFont="1" applyFill="1"/>
    <x:xf numFmtId="165" fontId="4" fillId="8" borderId="0" xfId="0" applyNumberFormat="1" applyFont="1" applyFill="1" applyAlignment="1">
      <x:alignment horizontal="center"/>
    </x:xf>
    <x:xf numFmtId="165" fontId="0" fillId="0" borderId="0" xfId="0" applyNumberFormat="1"/>
    <x:xf numFmtId="165" fontId="0" fillId="9" borderId="0" xfId="0" applyNumberFormat="1" applyFill="1"/>
    <x:xf numFmtId="164" fontId="0" fillId="2" borderId="0" xfId="0" applyNumberForma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65" fontId="0" fillId="5" borderId="0" xfId="0" applyNumberForma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164" fontId="0" fillId="2" borderId="0" xfId="0" applyNumberFormat="1" applyFill="1" applyAlignment="1">
      <x:alignment horizontal="center" vertical="center"/>
    </x:xf>
    <x:xf numFmtId="6" fontId="0" fillId="2" borderId="0" xfId="0" applyNumberFormat="1" applyFill="1" applyAlignment="1">
      <x:alignment horizontal="center" vertical="center"/>
    </x:xf>
    <x:xf numFmtId="0" fontId="4" fillId="6" borderId="0" xfId="0" applyFont="1" applyFill="1" applyAlignment="1">
      <x:alignment horizontal="left" vertical="center"/>
    </x:xf>
    <x:xf numFmtId="165" fontId="0" fillId="5" borderId="0" xfId="0" applyNumberFormat="1" applyFill="1" applyAlignment="1">
      <x:alignment horizontal="center" vertical="center"/>
    </x:xf>
    <x:xf numFmtId="0" fontId="4" fillId="7" borderId="0" xfId="0" applyFont="1" applyFill="1" applyAlignment="1">
      <x:alignment horizontal="left" vertical="center"/>
    </x:xf>
    <x:xf numFmtId="0" fontId="4" fillId="8" borderId="0" xfId="0" applyFont="1" applyFill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2" xfId="0" applyNumberFormat="1" applyFont="1" applyFill="1" applyBorder="1"/>
    <x:xf numFmtId="200" fontId="0" fillId="13" borderId="1" xfId="0" applyNumberFormat="1" applyFont="1" applyFill="1" applyBorder="1"/>
    <x:xf numFmtId="200" fontId="0" fillId="0" borderId="0" xfId="0" applyNumberFormat="1" applyFont="1" applyFill="1" applyBorder="1"/>
    <x:xf numFmtId="200" fontId="7" fillId="12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15" borderId="0" xfId="0" applyNumberFormat="1" applyFont="1" applyFill="1" applyBorder="1"/>
    <x:xf numFmtId="201" fontId="7" fillId="15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88ed853114fe5" /><Relationship Type="http://schemas.openxmlformats.org/officeDocument/2006/relationships/theme" Target="/xl/theme/theme1.xml" Id="R3598e2bc9745445a" /><Relationship Type="http://schemas.openxmlformats.org/officeDocument/2006/relationships/sheetMetadata" Target="/xl/metadata1.xml" Id="R271e8ea8338c4a50" /><Relationship Type="http://schemas.openxmlformats.org/officeDocument/2006/relationships/sharedStrings" Target="/xl/sharedStrings.xml" Id="R0dbc3a197ed24f43" /><Relationship Type="http://schemas.openxmlformats.org/officeDocument/2006/relationships/worksheet" Target="/xl/worksheets/sheet1.xml" Id="R6db90931fb154ed3" /><Relationship Type="http://schemas.openxmlformats.org/officeDocument/2006/relationships/worksheet" Target="/xl/worksheets/sheet2.xml" Id="R924f64fa000b4748" /><Relationship Type="http://schemas.openxmlformats.org/officeDocument/2006/relationships/worksheet" Target="/xl/worksheets/sheet3.xml" Id="R4aaa935c68f8425b" /><Relationship Type="http://schemas.openxmlformats.org/officeDocument/2006/relationships/worksheet" Target="/xl/worksheets/sheet4.xml" Id="R9d53697dac444604" /><Relationship Type="http://schemas.openxmlformats.org/officeDocument/2006/relationships/worksheet" Target="/xl/worksheets/sheet5.xml" Id="Rc2a7d4f3c5fa49aa" /><Relationship Type="http://schemas.openxmlformats.org/officeDocument/2006/relationships/worksheet" Target="/xl/worksheets/sheet6.xml" Id="R0f701142f118473c" /><Relationship Type="http://schemas.openxmlformats.org/officeDocument/2006/relationships/worksheet" Target="/xl/worksheets/sheet7.xml" Id="R66d08f612cbd437d" /><Relationship Type="http://schemas.openxmlformats.org/officeDocument/2006/relationships/worksheet" Target="/xl/worksheets/sheet8.xml" Id="Rf51c931bee2e4a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e03392fcdc4d5d" /><Relationship Type="http://schemas.openxmlformats.org/officeDocument/2006/relationships/chart" Target="/xl/drawings/charts/chart2.xml" Id="R98925fb0d57149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b88b078de9745ed" /><Relationship Type="http://schemas.openxmlformats.org/officeDocument/2006/relationships/chart" Target="/xl/drawings/charts/chart4.xml" Id="Rc657b388a8ee41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2026: Einnahmen, Ausgaben und Saldo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Einnahmen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Budget'!$B$23:$B$28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Ausgaben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Budget'!$C$23:$C$28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Saldo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Budget'!$D$23:$D$28</c:f>
              <c:numCache>
                <c:formatCode>€#,##0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Kategorien 2026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Summe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Budget'!$F$23:$F$35</c:f>
              <c:strCache>
                <c:ptCount val="0"/>
              </c:strCache>
            </c:strRef>
          </c:cat>
          <c:val>
            <c:numRef>
              <c:f>'Privat Budget'!$G$23:$G$35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Monatlicher Verlauf: Einnahmen, Ausgaben, Saldo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Einnahmen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Budget'!$B$23:$B$28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Ausgaben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Budget'!$C$23:$C$28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Saldo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Budget'!$A$23:$A$28</c:f>
              <c:strCache>
                <c:ptCount val="0"/>
              </c:strCache>
            </c:strRef>
          </c:cat>
          <c:val>
            <c:numRef>
              <c:f>'Privat Budget'!$D$23:$D$28</c:f>
              <c:numCache>
                <c:formatCode>€#,##0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Ausgaben nach Kategorie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Summe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'Privat Budget'!$F$23:$F$35</c:f>
              <c:strCache>
                <c:ptCount val="0"/>
              </c:strCache>
            </c:strRef>
          </c:cat>
          <c:val>
            <c:numRef>
              <c:f>'Privat Budget'!$G$23:$G$35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e03392fcdc4d5d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25fb0d57149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20</xdr:row>
      <xdr:rowOff>0</xdr:rowOff>
    </xdr:from>
    <xdr:to>
      <xdr:col>20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88b078de9745ed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57b388a8ee41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d2f159fefe34e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8f31cc2022fa4313" /></Relationships>
</file>

<file path=xl/worksheets/sheet1.xml><?xml version="1.0" encoding="utf-8"?>
<x:worksheet xmlns:x="http://schemas.openxmlformats.org/spreadsheetml/2006/main">
  <x:sheetFormatPr baseColWidth="10" defaultColWidth="10.7265625" defaultRowHeight="14.5"/>
  <x:cols>
    <x:col min="1" max="1" width="13.7265625" customWidth="1"/>
    <x:col min="2" max="2" width="17.1796875" customWidth="1"/>
    <x:col min="8" max="8" width="16.26953125" customWidth="1"/>
  </x:cols>
  <x:sheetData>
    <x:row r="1">
      <x:c r="A1" s="33" t="s">
        <x:v>0</x:v>
      </x:c>
      <x:c r="B1" s="1" t="s">
        <x:v>1</x:v>
      </x:c>
      <x:c r="C1" s="27" t="n">
        <x:f>47+28+20+23.65+3.73+61.2+82</x:f>
        <x:v>265.58000000000004</x:v>
      </x:c>
      <x:c r="D1" s="34" t="n">
        <x:f>SUM(C1:C6)</x:f>
        <x:v>752.63</x:v>
      </x:c>
    </x:row>
    <x:row r="2">
      <x:c r="A2" s="33"/>
      <x:c r="B2" s="1" t="s">
        <x:v>2</x:v>
      </x:c>
      <x:c r="C2" s="27" t="n">
        <x:f>23.52+50.69+85+21.92+106.92</x:f>
        <x:v>288.05</x:v>
      </x:c>
      <x:c r="D2" s="34"/>
    </x:row>
    <x:row r="3">
      <x:c r="A3" s="33"/>
      <x:c r="B3" s="1" t="s">
        <x:v>3</x:v>
      </x:c>
      <x:c r="C3" s="27" t="n">
        <x:f>2.18</x:f>
        <x:v>2.18</x:v>
      </x:c>
      <x:c r="D3" s="34"/>
    </x:row>
    <x:row r="4">
      <x:c r="A4" s="33"/>
      <x:c r="B4" s="1" t="s">
        <x:v>4</x:v>
      </x:c>
      <x:c r="C4" s="27" t="n">
        <x:f>7.21+6.25+7.76</x:f>
        <x:v>21.22</x:v>
      </x:c>
      <x:c r="D4" s="34"/>
    </x:row>
    <x:row r="5">
      <x:c r="A5" s="33"/>
      <x:c r="B5" s="1" t="s">
        <x:v>5</x:v>
      </x:c>
      <x:c r="C5" s="27" t="n">
        <x:f>20+21+3+16.3</x:f>
        <x:v>60.3</x:v>
      </x:c>
      <x:c r="D5" s="34"/>
    </x:row>
    <x:row r="6">
      <x:c r="A6" s="33"/>
      <x:c r="B6" s="1" t="s">
        <x:v>6</x:v>
      </x:c>
      <x:c r="C6" s="27" t="n">
        <x:f>22+93.3</x:f>
        <x:v>115.3</x:v>
      </x:c>
      <x:c r="D6" s="34"/>
      <x:c r="H6" t="s">
        <x:v>7</x:v>
      </x:c>
      <x:c r="I6" s="9">
        <x:v>8200.92</x:v>
      </x:c>
    </x:row>
    <x:row r="7">
      <x:c r="A7" s="31" t="s">
        <x:v>8</x:v>
      </x:c>
      <x:c r="B7" s="2" t="s">
        <x:v>9</x:v>
      </x:c>
      <x:c r="C7" s="29"/>
      <x:c r="D7" s="32" t="n">
        <x:f>SUM(C7:C10)</x:f>
        <x:v>85.33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>
        <x:v>44.35</x:v>
      </x:c>
      <x:c r="D8" s="32"/>
      <x:c r="H8" t="s">
        <x:v>12</x:v>
      </x:c>
      <x:c r="I8" s="9" t="n">
        <x:f>-D70</x:f>
        <x:v>-8431.380000000001</x:v>
      </x:c>
    </x:row>
    <x:row r="9">
      <x:c r="A9" s="31"/>
      <x:c r="B9" s="2" t="s">
        <x:v>13</x:v>
      </x:c>
      <x:c r="C9" s="29">
        <x:v>40.98</x:v>
      </x:c>
      <x:c r="D9" s="32"/>
      <x:c r="H9" s="10" t="s">
        <x:v>14</x:v>
      </x:c>
      <x:c r="I9" s="11" t="n">
        <x:f>SUM(I6:I8)</x:f>
        <x:v>287.53999999999905</x:v>
      </x:c>
    </x:row>
    <x:row r="10">
      <x:c r="A10" s="31"/>
      <x:c r="B10" s="2" t="s">
        <x:v>15</x:v>
      </x:c>
      <x:c r="C10" s="29"/>
      <x:c r="D10" s="32"/>
    </x:row>
    <x:row r="11">
      <x:c r="A11" s="33" t="s">
        <x:v>16</x:v>
      </x:c>
      <x:c r="B11" s="1" t="s">
        <x:v>17</x:v>
      </x:c>
      <x:c r="C11" s="27"/>
      <x:c r="D11" s="34" t="n">
        <x:f>SUM(C11:C13)</x:f>
        <x:v>0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/>
      <x:c r="D14" s="32" t="n">
        <x:f> SUM(C14:C16)</x:f>
        <x:v>170.8</x:v>
      </x:c>
    </x:row>
    <x:row r="15">
      <x:c r="A15" s="31"/>
      <x:c r="B15" s="2" t="s">
        <x:v>22</x:v>
      </x:c>
      <x:c r="C15" s="29" t="n">
        <x:f>48.5+32.3+90</x:f>
        <x:v>170.8</x:v>
      </x:c>
      <x:c r="D15" s="32"/>
    </x:row>
    <x:row r="16">
      <x:c r="A16" s="31"/>
      <x:c r="B16" t="s">
        <x:v>23</x:v>
      </x:c>
      <x:c r="C16" s="29"/>
      <x:c r="D16" s="32"/>
    </x:row>
    <x:row r="17">
      <x:c r="A17" s="33" t="s">
        <x:v>24</x:v>
      </x:c>
      <x:c r="B17" s="1" t="s">
        <x:v>25</x:v>
      </x:c>
      <x:c r="C17" s="27" t="n">
        <x:f>20+20+20+40</x:f>
        <x:v>100</x:v>
      </x:c>
      <x:c r="D17" s="34" t="n">
        <x:f>SUM(C17:C25)</x:f>
        <x:v>462.31</x:v>
      </x:c>
    </x:row>
    <x:row r="18">
      <x:c r="A18" s="33"/>
      <x:c r="B18" s="1" t="s">
        <x:v>26</x:v>
      </x:c>
      <x:c r="C18" s="27" t="n">
        <x:f>3.52+4.79</x:f>
        <x:v>8.31</x:v>
      </x:c>
      <x:c r="D18" s="34"/>
    </x:row>
    <x:row r="19">
      <x:c r="A19" s="33"/>
      <x:c r="B19" s="1" t="s">
        <x:v>27</x:v>
      </x:c>
      <x:c r="C19" s="27" t="n">
        <x:f>2 + 1</x:f>
        <x:v>3</x:v>
      </x:c>
      <x:c r="D19" s="34"/>
    </x:row>
    <x:row r="20">
      <x:c r="A20" s="33"/>
      <x:c r="B20" s="1" t="s">
        <x:v>28</x:v>
      </x:c>
      <x:c r="C20" s="27" t="n">
        <x:f> 3</x:f>
        <x:v>3</x:v>
      </x:c>
      <x:c r="D20" s="34"/>
    </x:row>
    <x:row r="21">
      <x:c r="A21" s="33"/>
      <x:c r="B21" s="1" t="s">
        <x:v>29</x:v>
      </x:c>
      <x:c r="C21" s="27"/>
      <x:c r="D21" s="34"/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/>
      <x:c r="D23" s="34"/>
    </x:row>
    <x:row r="24">
      <x:c r="A24" s="33"/>
      <x:c r="B24" s="1" t="s">
        <x:v>32</x:v>
      </x:c>
      <x:c r="C24" s="27"/>
      <x:c r="D24" s="34"/>
    </x:row>
    <x:row r="25">
      <x:c r="A25" s="33"/>
      <x:c r="B25" s="1" t="s">
        <x:v>33</x:v>
      </x:c>
      <x:c r="C25" s="27"/>
      <x:c r="D25" s="34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2737.28</x:v>
      </x:c>
    </x:row>
    <x:row r="27">
      <x:c r="A27" s="31"/>
      <x:c r="B27" s="2" t="s">
        <x:v>36</x:v>
      </x:c>
      <x:c r="C27" s="29" t="n">
        <x:f>177+298.3</x:f>
        <x:v>475.3</x:v>
      </x:c>
      <x:c r="D27" s="32"/>
    </x:row>
    <x:row r="28">
      <x:c r="A28" s="31"/>
      <x:c r="B28" s="2" t="s">
        <x:v>26</x:v>
      </x:c>
      <x:c r="C28" s="29" t="n">
        <x:f>87+66</x:f>
        <x:v>153</x:v>
      </x:c>
      <x:c r="D28" s="32"/>
    </x:row>
    <x:row r="29">
      <x:c r="A29" s="31"/>
      <x:c r="B29" s="2" t="s">
        <x:v>37</x:v>
      </x:c>
      <x:c r="C29" s="29">
        <x:v>47</x:v>
      </x:c>
      <x:c r="D29" s="32"/>
    </x:row>
    <x:row r="30">
      <x:c r="A30" s="31"/>
      <x:c r="B30" s="2" t="s">
        <x:v>38</x:v>
      </x:c>
      <x:c r="C30" s="29" t="n">
        <x:f>4.99+6.99</x:f>
        <x:v>11.98</x:v>
      </x:c>
      <x:c r="D30" s="32"/>
    </x:row>
    <x:row r="31">
      <x:c r="A31" s="31"/>
      <x:c r="B31" s="2" t="s">
        <x:v>39</x:v>
      </x:c>
      <x:c r="C31" s="29"/>
      <x:c r="D31" s="32"/>
    </x:row>
    <x:row r="32">
      <x:c r="A32" s="31"/>
      <x:c r="B32" s="2" t="s">
        <x:v>40</x:v>
      </x:c>
      <x:c r="C32" s="29" t="n">
        <x:f>25</x:f>
        <x:v>25</x:v>
      </x:c>
      <x:c r="D32" s="32"/>
    </x:row>
    <x:row r="33">
      <x:c r="A33" s="31"/>
      <x:c r="B33" s="2" t="s">
        <x:v>41</x:v>
      </x:c>
      <x:c r="C33" s="29"/>
      <x:c r="D33" s="32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185.84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/>
      <x:c r="D36" s="34"/>
    </x:row>
    <x:row r="37">
      <x:c r="A37" s="33"/>
      <x:c r="B37" s="1" t="s">
        <x:v>45</x:v>
      </x:c>
      <x:c r="C37" s="27">
        <x:v>31</x:v>
      </x:c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 t="n">
        <x:f>4.15+11+18.79</x:f>
        <x:v>33.94</x:v>
      </x:c>
      <x:c r="D39" s="34"/>
    </x:row>
    <x:row r="40">
      <x:c r="A40" s="33"/>
      <x:c r="B40" s="3" t="s">
        <x:v>48</x:v>
      </x:c>
      <x:c r="C40" s="27">
        <x:v>10</x:v>
      </x:c>
      <x:c r="D40" s="34"/>
    </x:row>
    <x:row r="41">
      <x:c r="A41" s="33"/>
      <x:c r="B41" s="3" t="s">
        <x:v>49</x:v>
      </x:c>
      <x:c r="C41" s="27" t="n">
        <x:f>22+56</x:f>
        <x:v>78</x:v>
      </x:c>
      <x:c r="D41" s="34"/>
    </x:row>
    <x:row r="42">
      <x:c r="A42" s="31" t="s">
        <x:v>50</x:v>
      </x:c>
      <x:c r="B42" s="2" t="s">
        <x:v>51</x:v>
      </x:c>
      <x:c r="C42" s="29">
        <x:v>53</x:v>
      </x:c>
      <x:c r="D42" s="32" t="n">
        <x:f>SUM(C42:C46)</x:f>
        <x:v>380.81</x:v>
      </x:c>
    </x:row>
    <x:row r="43">
      <x:c r="A43" s="31"/>
      <x:c r="B43" s="2" t="s">
        <x:v>52</x:v>
      </x:c>
      <x:c r="C43" s="29"/>
      <x:c r="D43" s="32"/>
    </x:row>
    <x:row r="44">
      <x:c r="A44" s="31"/>
      <x:c r="B44" s="2" t="s">
        <x:v>8</x:v>
      </x:c>
      <x:c r="C44" s="29" t="n">
        <x:f>26+5</x:f>
        <x:v>31</x:v>
      </x:c>
      <x:c r="D44" s="32"/>
    </x:row>
    <x:row r="45">
      <x:c r="A45" s="31"/>
      <x:c r="B45" s="2" t="s">
        <x:v>48</x:v>
      </x:c>
      <x:c r="C45" s="29">
        <x:v>286.83</x:v>
      </x:c>
      <x:c r="D45" s="32"/>
    </x:row>
    <x:row r="46">
      <x:c r="A46" s="31"/>
      <x:c r="B46" s="2" t="s">
        <x:v>53</x:v>
      </x:c>
      <x:c r="C46" s="29" t="n">
        <x:f>4.99+4.99</x:f>
        <x:v>9.98</x:v>
      </x:c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1733.4899999999998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 t="n">
        <x:f>17.99+10.79+8.99</x:f>
        <x:v>37.769999999999996</x:v>
      </x:c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 t="n">
        <x:f>0.79+70</x:f>
        <x:v>70.79</x:v>
      </x:c>
      <x:c r="D52" s="34"/>
    </x:row>
    <x:row r="53">
      <x:c r="A53" s="33"/>
      <x:c r="B53" s="1" t="s">
        <x:v>52</x:v>
      </x:c>
      <x:c r="C53" s="27" t="n">
        <x:f>16.4+13.9+7.49+355.99+15+35</x:f>
        <x:v>443.78000000000003</x:v>
      </x:c>
      <x:c r="D53" s="34"/>
    </x:row>
    <x:row r="54">
      <x:c r="A54" s="33"/>
      <x:c r="B54" s="1" t="s">
        <x:v>47</x:v>
      </x:c>
      <x:c r="C54" s="27" t="n">
        <x:f>10+ 58.1 + 11.99</x:f>
        <x:v>80.08999999999999</x:v>
      </x:c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SUM(C55:C58)</x:f>
        <x:v>537.54</x:v>
      </x:c>
    </x:row>
    <x:row r="56">
      <x:c r="A56" s="31"/>
      <x:c r="B56" s="2" t="s">
        <x:v>8</x:v>
      </x:c>
      <x:c r="C56" s="29" t="n">
        <x:f>2.39+4.19+7.99+6.99+12.99+10</x:f>
        <x:v>44.550000000000004</x:v>
      </x:c>
      <x:c r="D56" s="32"/>
    </x:row>
    <x:row r="57">
      <x:c r="A57" s="31"/>
      <x:c r="B57" s="2" t="s">
        <x:v>60</x:v>
      </x:c>
      <x:c r="C57" s="29" t="n">
        <x:f>8.99</x:f>
        <x:v>8.99</x:v>
      </x:c>
      <x:c r="D57" s="32"/>
    </x:row>
    <x:row r="58">
      <x:c r="A58" s="31"/>
      <x:c r="B58" t="s">
        <x:v>47</x:v>
      </x:c>
      <x:c r="C58" s="29" t="n">
        <x:f>10+70+34</x:f>
        <x:v>114</x:v>
      </x:c>
      <x:c r="D58" s="32"/>
    </x:row>
    <x:row r="59">
      <x:c r="A59" s="33" t="s">
        <x:v>61</x:v>
      </x:c>
      <x:c r="B59" s="1" t="s">
        <x:v>62</x:v>
      </x:c>
      <x:c r="C59" s="27"/>
      <x:c r="D59" s="34" t="n">
        <x:f>SUM(C59:C60)</x:f>
        <x:v>0</x:v>
      </x:c>
    </x:row>
    <x:row r="60">
      <x:c r="A60" s="33"/>
      <x:c r="B60" s="1" t="s">
        <x:v>52</x:v>
      </x:c>
      <x:c r="C60" s="27"/>
      <x:c r="D60" s="34"/>
    </x:row>
    <x:row r="61">
      <x:c r="A61" s="28" t="s">
        <x:v>63</x:v>
      </x:c>
      <x:c r="B61" s="2" t="s">
        <x:v>52</x:v>
      </x:c>
      <x:c r="C61" s="29"/>
      <x:c r="D61" s="29"/>
    </x:row>
    <x:row r="62">
      <x:c r="A62" s="33" t="s">
        <x:v>64</x:v>
      </x:c>
      <x:c r="B62" s="1" t="s">
        <x:v>62</x:v>
      </x:c>
      <x:c r="C62" s="27"/>
      <x:c r="D62" s="35" t="n">
        <x:f>SUM(C63:C64)</x:f>
        <x:v>0</x:v>
      </x:c>
    </x:row>
    <x:row r="63">
      <x:c r="A63" s="33"/>
      <x:c r="B63" s="3" t="s">
        <x:v>52</x:v>
      </x:c>
      <x:c r="C63" s="4"/>
      <x:c r="D63" s="35"/>
    </x:row>
    <x:row r="64">
      <x:c r="A64" s="28" t="s">
        <x:v>65</x:v>
      </x:c>
      <x:c r="B64" t="s">
        <x:v>52</x:v>
      </x:c>
      <x:c r="C64" s="5"/>
      <x:c r="D64" s="6"/>
    </x:row>
    <x:row r="65">
      <x:c r="A65" s="33" t="s">
        <x:v>66</x:v>
      </x:c>
      <x:c r="B65" s="3" t="s">
        <x:v>67</x:v>
      </x:c>
      <x:c r="C65" s="27" t="n">
        <x:f>15+5.68</x:f>
        <x:v>20.68</x:v>
      </x:c>
      <x:c r="D65" s="34" t="n">
        <x:f>SUM(C65:C66)</x:f>
        <x:v>70.68</x:v>
      </x:c>
    </x:row>
    <x:row r="66">
      <x:c r="A66" s="33"/>
      <x:c r="B66" s="3" t="s">
        <x:v>47</x:v>
      </x:c>
      <x:c r="C66" s="27">
        <x:v>50</x:v>
      </x:c>
      <x:c r="D66" s="34"/>
    </x:row>
    <x:row r="67">
      <x:c r="A67" s="31" t="s">
        <x:v>68</x:v>
      </x:c>
      <x:c r="B67" t="s">
        <x:v>69</x:v>
      </x:c>
      <x:c r="C67" s="29">
        <x:v>1400</x:v>
      </x:c>
      <x:c r="D67" s="32" t="n">
        <x:f>SUM(C67:C69)</x:f>
        <x:v>1400</x:v>
      </x:c>
    </x:row>
    <x:row r="68">
      <x:c r="A68" s="31"/>
      <x:c r="B68" t="s">
        <x:v>70</x:v>
      </x:c>
      <x:c r="C68" s="29"/>
      <x:c r="D68" s="31"/>
    </x:row>
    <x:row r="69">
      <x:c r="A69" s="31"/>
      <x:c r="B69" t="s">
        <x:v>71</x:v>
      </x:c>
      <x:c r="C69" s="29"/>
      <x:c r="D69" s="31"/>
    </x:row>
    <x:row r="70">
      <x:c r="C70" s="7" t="s">
        <x:v>72</x:v>
      </x:c>
      <x:c r="D70" s="8" t="n">
        <x:f>SUM(D1:D69)-(D7+D13)</x:f>
        <x:v>8431.380000000001</x:v>
      </x:c>
    </x:row>
  </x:sheetData>
  <x:mergeCells>
    <x:mergeCell ref="A1:A6"/>
    <x:mergeCell ref="D1:D6"/>
    <x:mergeCell ref="A7:A10"/>
    <x:mergeCell ref="D7:D10"/>
    <x:mergeCell ref="A11:A13"/>
    <x:mergeCell ref="D11:D13"/>
    <x:mergeCell ref="A42:A46"/>
    <x:mergeCell ref="D42:D46"/>
    <x:mergeCell ref="A34:A41"/>
    <x:mergeCell ref="D34:D41"/>
    <x:mergeCell ref="A47:A54"/>
    <x:mergeCell ref="D47:D54"/>
    <x:mergeCell ref="A14:A16"/>
    <x:mergeCell ref="D14:D16"/>
    <x:mergeCell ref="A17:A25"/>
    <x:mergeCell ref="D17:D25"/>
    <x:mergeCell ref="A26:A33"/>
    <x:mergeCell ref="D26:D33"/>
    <x:mergeCell ref="A65:A66"/>
    <x:mergeCell ref="D65:D66"/>
    <x:mergeCell ref="A67:A69"/>
    <x:mergeCell ref="D67:D69"/>
    <x:mergeCell ref="A55:A58"/>
    <x:mergeCell ref="D55:D58"/>
    <x:mergeCell ref="A59:A60"/>
    <x:mergeCell ref="D59:D60"/>
    <x:mergeCell ref="A62:A63"/>
    <x:mergeCell ref="D62:D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0.7265625" defaultRowHeight="14.5"/>
  <x:cols>
    <x:col min="1" max="1" width="13.7265625" customWidth="1"/>
    <x:col min="2" max="2" width="21.453125" customWidth="1"/>
    <x:col min="4" max="4" width="13.1796875" customWidth="1"/>
    <x:col min="8" max="8" width="16.26953125" customWidth="1"/>
    <x:col min="11" max="11" width="14.54296875" customWidth="1"/>
    <x:col min="12" max="12" width="16.453125" customWidth="1"/>
    <x:col min="13" max="13" width="13.26953125" customWidth="1"/>
  </x:cols>
  <x:sheetData>
    <x:row r="1">
      <x:c r="A1" s="33" t="s">
        <x:v>0</x:v>
      </x:c>
      <x:c r="B1" s="1" t="s">
        <x:v>1</x:v>
      </x:c>
      <x:c r="C1" s="27" t="n">
        <x:f>77+42.31+77+114.17+42.31+118.94+63.04+77.58</x:f>
        <x:v>612.35</x:v>
      </x:c>
      <x:c r="D1" s="34" t="n">
        <x:f>SUM(C1:C6)</x:f>
        <x:v>1025.12</x:v>
      </x:c>
    </x:row>
    <x:row r="2">
      <x:c r="A2" s="33"/>
      <x:c r="B2" s="1" t="s">
        <x:v>2</x:v>
      </x:c>
      <x:c r="C2" s="27" t="n">
        <x:f>4.97+12.7+40.69+10.36+4.24</x:f>
        <x:v>72.96</x:v>
      </x:c>
      <x:c r="D2" s="34"/>
    </x:row>
    <x:row r="3">
      <x:c r="A3" s="33"/>
      <x:c r="B3" s="1" t="s">
        <x:v>3</x:v>
      </x:c>
      <x:c r="C3" s="27"/>
      <x:c r="D3" s="34"/>
    </x:row>
    <x:row r="4">
      <x:c r="A4" s="33"/>
      <x:c r="B4" s="1" t="s">
        <x:v>4</x:v>
      </x:c>
      <x:c r="C4" s="27" t="n">
        <x:f>15.95+8.18+19.89+12.19+19.99</x:f>
        <x:v>76.19999999999999</x:v>
      </x:c>
      <x:c r="D4" s="34"/>
    </x:row>
    <x:row r="5">
      <x:c r="A5" s="33"/>
      <x:c r="B5" s="1" t="s">
        <x:v>5</x:v>
      </x:c>
      <x:c r="C5" s="27" t="n">
        <x:f>21+29.05+21+81.8</x:f>
        <x:v>152.85</x:v>
      </x:c>
      <x:c r="D5" s="34"/>
    </x:row>
    <x:row r="6">
      <x:c r="A6" s="33"/>
      <x:c r="B6" s="1" t="s">
        <x:v>6</x:v>
      </x:c>
      <x:c r="C6" s="27" t="n">
        <x:f>4+12.91+28.47+43.3+22.08</x:f>
        <x:v>110.75999999999999</x:v>
      </x:c>
      <x:c r="D6" s="34"/>
      <x:c r="H6" t="s">
        <x:v>7</x:v>
      </x:c>
      <x:c r="I6" s="9">
        <x:v>7367.33</x:v>
      </x:c>
    </x:row>
    <x:row r="7">
      <x:c r="A7" s="31" t="s">
        <x:v>8</x:v>
      </x:c>
      <x:c r="B7" s="2" t="s">
        <x:v>9</x:v>
      </x:c>
      <x:c r="C7" s="29"/>
      <x:c r="D7" s="32" t="n">
        <x:f>SUM(C7:C10)</x:f>
        <x:v>36.96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>
        <x:v>36.96</x:v>
      </x:c>
      <x:c r="D8" s="32"/>
      <x:c r="H8" t="s">
        <x:v>12</x:v>
      </x:c>
      <x:c r="I8" s="9" t="n">
        <x:f>-D72</x:f>
        <x:v>-10840.530000000002</x:v>
      </x:c>
    </x:row>
    <x:row r="9">
      <x:c r="A9" s="31"/>
      <x:c r="B9" s="2" t="s">
        <x:v>13</x:v>
      </x:c>
      <x:c r="C9" s="29"/>
      <x:c r="D9" s="32"/>
      <x:c r="H9" s="10" t="s">
        <x:v>14</x:v>
      </x:c>
      <x:c r="I9" s="11" t="n">
        <x:f>SUM(I6:I8)</x:f>
        <x:v>-2955.2000000000025</x:v>
      </x:c>
    </x:row>
    <x:row r="10">
      <x:c r="A10" s="31"/>
      <x:c r="B10" s="2" t="s">
        <x:v>15</x:v>
      </x:c>
      <x:c r="C10" s="29"/>
      <x:c r="D10" s="32"/>
    </x:row>
    <x:row r="11">
      <x:c r="A11" s="33" t="s">
        <x:v>16</x:v>
      </x:c>
      <x:c r="B11" s="1" t="s">
        <x:v>17</x:v>
      </x:c>
      <x:c r="C11" s="27" t="n">
        <x:f>34.9+9.99+19.99+16.66+28.48</x:f>
        <x:v>110.02</x:v>
      </x:c>
      <x:c r="D11" s="34" t="n">
        <x:f>SUM(C11:C13)</x:f>
        <x:v>110.02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 t="n">
        <x:f>4</x:f>
        <x:v>4</x:v>
      </x:c>
      <x:c r="D14" s="32" t="n">
        <x:f> SUM(C14:C16)</x:f>
        <x:v>76</x:v>
      </x:c>
    </x:row>
    <x:row r="15">
      <x:c r="A15" s="31"/>
      <x:c r="B15" s="2" t="s">
        <x:v>22</x:v>
      </x:c>
      <x:c r="C15" s="29">
        <x:v>72</x:v>
      </x:c>
      <x:c r="D15" s="32"/>
    </x:row>
    <x:row r="16">
      <x:c r="A16" s="31"/>
      <x:c r="B16" t="s">
        <x:v>23</x:v>
      </x:c>
      <x:c r="C16" s="29"/>
      <x:c r="D16" s="32"/>
    </x:row>
    <x:row r="17">
      <x:c r="A17" s="33" t="s">
        <x:v>24</x:v>
      </x:c>
      <x:c r="B17" s="1" t="s">
        <x:v>25</x:v>
      </x:c>
      <x:c r="C17" s="27" t="n">
        <x:f>25+40+40+38</x:f>
        <x:v>143</x:v>
      </x:c>
      <x:c r="D17" s="34" t="n">
        <x:f>SUM(C17:C25)</x:f>
        <x:v>498</x:v>
      </x:c>
    </x:row>
    <x:row r="18">
      <x:c r="A18" s="33"/>
      <x:c r="B18" s="1" t="s">
        <x:v>26</x:v>
      </x:c>
      <x:c r="C18" s="27"/>
      <x:c r="D18" s="34"/>
    </x:row>
    <x:row r="19">
      <x:c r="A19" s="33"/>
      <x:c r="B19" s="1" t="s">
        <x:v>27</x:v>
      </x:c>
      <x:c r="C19" s="27" t="n">
        <x:f>4+3</x:f>
        <x:v>7</x:v>
      </x:c>
      <x:c r="D19" s="34"/>
    </x:row>
    <x:row r="20">
      <x:c r="A20" s="33"/>
      <x:c r="B20" s="1" t="s">
        <x:v>28</x:v>
      </x:c>
      <x:c r="C20" s="27"/>
      <x:c r="D20" s="34"/>
    </x:row>
    <x:row r="21">
      <x:c r="A21" s="33"/>
      <x:c r="B21" s="1" t="s">
        <x:v>29</x:v>
      </x:c>
      <x:c r="C21" s="27"/>
      <x:c r="D21" s="34"/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/>
      <x:c r="D23" s="34"/>
      <x:c r="K23" s="16" t="s">
        <x:v>73</x:v>
      </x:c>
      <x:c r="L23" s="17" t="s">
        <x:v>74</x:v>
      </x:c>
      <x:c r="M23" s="18">
        <x:v>254.06</x:v>
      </x:c>
      <x:c r="N23" s="30" t="n">
        <x:f>SUM(M23)</x:f>
        <x:v>254.06</x:v>
      </x:c>
    </x:row>
    <x:row r="24">
      <x:c r="A24" s="33"/>
      <x:c r="B24" s="1" t="s">
        <x:v>32</x:v>
      </x:c>
      <x:c r="C24" s="27"/>
      <x:c r="D24" s="34"/>
      <x:c r="K24" s="36" t="s">
        <x:v>22</x:v>
      </x:c>
      <x:c r="L24" s="19" t="s">
        <x:v>9</x:v>
      </x:c>
      <x:c r="M24" s="20" t="n">
        <x:f>24+40+24</x:f>
        <x:v>88</x:v>
      </x:c>
      <x:c r="N24" s="37" t="n">
        <x:f>SUM(M24:M26)</x:f>
        <x:v>97.56</x:v>
      </x:c>
    </x:row>
    <x:row r="25">
      <x:c r="A25" s="33"/>
      <x:c r="B25" s="1" t="s">
        <x:v>33</x:v>
      </x:c>
      <x:c r="C25" s="27"/>
      <x:c r="D25" s="34"/>
      <x:c r="K25" s="36"/>
      <x:c r="L25" s="19" t="s">
        <x:v>20</x:v>
      </x:c>
      <x:c r="M25" s="20" t="n">
        <x:f>9.56</x:f>
        <x:v>9.56</x:v>
      </x:c>
      <x:c r="N25" s="37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4997.18</x:v>
      </x:c>
      <x:c r="K26" s="36"/>
      <x:c r="L26" s="19" t="s">
        <x:v>75</x:v>
      </x:c>
      <x:c r="M26" s="20"/>
      <x:c r="N26" s="37"/>
    </x:row>
    <x:row r="27">
      <x:c r="A27" s="31"/>
      <x:c r="B27" s="2" t="s">
        <x:v>36</x:v>
      </x:c>
      <x:c r="C27" s="29" t="n">
        <x:f>177+298.3</x:f>
        <x:v>475.3</x:v>
      </x:c>
      <x:c r="D27" s="32"/>
      <x:c r="K27" s="38" t="s">
        <x:v>76</x:v>
      </x:c>
      <x:c r="L27" s="21" t="s">
        <x:v>77</x:v>
      </x:c>
      <x:c r="M27" s="22"/>
      <x:c r="N27" s="37" t="n">
        <x:f>SUM(M27:M31)</x:f>
        <x:v>31.72</x:v>
      </x:c>
    </x:row>
    <x:row r="28">
      <x:c r="A28" s="31"/>
      <x:c r="B28" s="2" t="s">
        <x:v>26</x:v>
      </x:c>
      <x:c r="C28" s="29">
        <x:v>87</x:v>
      </x:c>
      <x:c r="D28" s="32"/>
      <x:c r="K28" s="38"/>
      <x:c r="L28" s="21" t="s">
        <x:v>78</x:v>
      </x:c>
      <x:c r="M28" s="22"/>
      <x:c r="N28" s="37"/>
    </x:row>
    <x:row r="29">
      <x:c r="A29" s="31"/>
      <x:c r="B29" s="2" t="s">
        <x:v>37</x:v>
      </x:c>
      <x:c r="C29" s="29">
        <x:v>47</x:v>
      </x:c>
      <x:c r="D29" s="32"/>
      <x:c r="K29" s="38"/>
      <x:c r="L29" s="21" t="s">
        <x:v>79</x:v>
      </x:c>
      <x:c r="M29" s="22"/>
      <x:c r="N29" s="37"/>
    </x:row>
    <x:row r="30">
      <x:c r="A30" s="31"/>
      <x:c r="B30" s="2" t="s">
        <x:v>38</x:v>
      </x:c>
      <x:c r="C30" s="29" t="n">
        <x:f>4.99+6.99</x:f>
        <x:v>11.98</x:v>
      </x:c>
      <x:c r="D30" s="32"/>
      <x:c r="K30" s="38"/>
      <x:c r="L30" s="21" t="s">
        <x:v>80</x:v>
      </x:c>
      <x:c r="M30" s="22" t="n">
        <x:f>12.69+7.28+8.26+3.49</x:f>
        <x:v>31.72</x:v>
      </x:c>
      <x:c r="N30" s="37"/>
    </x:row>
    <x:row r="31">
      <x:c r="A31" s="31"/>
      <x:c r="B31" s="2" t="s">
        <x:v>39</x:v>
      </x:c>
      <x:c r="C31" s="29"/>
      <x:c r="D31" s="32"/>
      <x:c r="K31" s="38"/>
      <x:c r="L31" s="21" t="s">
        <x:v>81</x:v>
      </x:c>
      <x:c r="M31" s="22"/>
      <x:c r="N31" s="37"/>
    </x:row>
    <x:row r="32">
      <x:c r="A32" s="31"/>
      <x:c r="B32" s="2" t="s">
        <x:v>40</x:v>
      </x:c>
      <x:c r="C32" s="29" t="n">
        <x:f>34.9+1959+357</x:f>
        <x:v>2350.9</x:v>
      </x:c>
      <x:c r="D32" s="32"/>
      <x:c r="K32" s="39" t="s">
        <x:v>82</x:v>
      </x:c>
      <x:c r="L32" s="23" t="s">
        <x:v>83</x:v>
      </x:c>
      <x:c r="M32" s="24">
        <x:v>52</x:v>
      </x:c>
      <x:c r="N32" s="37" t="n">
        <x:f>SUM(M32:M33)</x:f>
        <x:v>54</x:v>
      </x:c>
    </x:row>
    <x:row r="33">
      <x:c r="A33" s="31"/>
      <x:c r="B33" s="2" t="s">
        <x:v>41</x:v>
      </x:c>
      <x:c r="C33" s="29"/>
      <x:c r="D33" s="32"/>
      <x:c r="K33" s="39"/>
      <x:c r="L33" s="23" t="s">
        <x:v>84</x:v>
      </x:c>
      <x:c r="M33" s="24">
        <x:v>2</x:v>
      </x:c>
      <x:c r="N33" s="37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42.89</x:v>
      </x:c>
      <x:c r="M34" s="25"/>
      <x:c r="N34" s="26" t="n">
        <x:f>SUM(N23:N33)</x:f>
        <x:v>437.34000000000003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/>
      <x:c r="D36" s="34"/>
    </x:row>
    <x:row r="37">
      <x:c r="A37" s="33"/>
      <x:c r="B37" s="1" t="s">
        <x:v>45</x:v>
      </x:c>
      <x:c r="C37" s="27"/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 t="n">
        <x:f>9.99</x:f>
        <x:v>9.99</x:v>
      </x:c>
      <x:c r="D39" s="34"/>
    </x:row>
    <x:row r="40">
      <x:c r="A40" s="33"/>
      <x:c r="B40" s="3" t="s">
        <x:v>48</x:v>
      </x:c>
      <x:c r="C40" s="27"/>
      <x:c r="D40" s="34"/>
    </x:row>
    <x:row r="41">
      <x:c r="A41" s="33"/>
      <x:c r="B41" s="3" t="s">
        <x:v>49</x:v>
      </x:c>
      <x:c r="C41" s="27"/>
      <x:c r="D41" s="34"/>
    </x:row>
    <x:row r="42">
      <x:c r="A42" s="31" t="s">
        <x:v>50</x:v>
      </x:c>
      <x:c r="B42" s="2" t="s">
        <x:v>51</x:v>
      </x:c>
      <x:c r="C42" s="29">
        <x:v>53</x:v>
      </x:c>
      <x:c r="D42" s="32" t="n">
        <x:f>SUM(C42:C46)</x:f>
        <x:v>329.83</x:v>
      </x:c>
    </x:row>
    <x:row r="43">
      <x:c r="A43" s="31"/>
      <x:c r="B43" s="2" t="s">
        <x:v>52</x:v>
      </x:c>
      <x:c r="C43" s="29"/>
      <x:c r="D43" s="32"/>
    </x:row>
    <x:row r="44">
      <x:c r="A44" s="31"/>
      <x:c r="B44" s="2" t="s">
        <x:v>8</x:v>
      </x:c>
      <x:c r="C44" s="29"/>
      <x:c r="D44" s="32"/>
    </x:row>
    <x:row r="45">
      <x:c r="A45" s="31"/>
      <x:c r="B45" s="2" t="s">
        <x:v>48</x:v>
      </x:c>
      <x:c r="C45" s="29">
        <x:v>276.83</x:v>
      </x:c>
      <x:c r="D45" s="32"/>
    </x:row>
    <x:row r="46">
      <x:c r="A46" s="31"/>
      <x:c r="B46" s="2" t="s">
        <x:v>53</x:v>
      </x:c>
      <x:c r="C46" s="29"/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1156.1499999999999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/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/>
      <x:c r="D52" s="34"/>
    </x:row>
    <x:row r="53">
      <x:c r="A53" s="33"/>
      <x:c r="B53" s="1" t="s">
        <x:v>47</x:v>
      </x:c>
      <x:c r="C53" s="27" t="n">
        <x:f>16.66+9.95</x:f>
        <x:v>26.61</x:v>
      </x:c>
      <x:c r="D53" s="34"/>
    </x:row>
    <x:row r="54">
      <x:c r="A54" s="33"/>
      <x:c r="B54" s="1" t="s">
        <x:v>60</x:v>
      </x:c>
      <x:c r="C54" s="27">
        <x:v>28.48</x:v>
      </x:c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SUM(C55:C58)</x:f>
        <x:v>454.85</x:v>
      </x:c>
    </x:row>
    <x:row r="56">
      <x:c r="A56" s="31"/>
      <x:c r="B56" s="2" t="s">
        <x:v>8</x:v>
      </x:c>
      <x:c r="C56" s="29" t="n">
        <x:f>12.99</x:f>
        <x:v>12.99</x:v>
      </x:c>
      <x:c r="D56" s="32"/>
    </x:row>
    <x:row r="57">
      <x:c r="A57" s="31"/>
      <x:c r="B57" s="2" t="s">
        <x:v>60</x:v>
      </x:c>
      <x:c r="C57" s="29" t="n">
        <x:f>40.97+19.99+10.9</x:f>
        <x:v>71.86</x:v>
      </x:c>
      <x:c r="D57" s="32"/>
    </x:row>
    <x:row r="58">
      <x:c r="A58" s="31"/>
      <x:c r="B58" t="s">
        <x:v>47</x:v>
      </x:c>
      <x:c r="C58" s="29"/>
      <x:c r="D58" s="32"/>
    </x:row>
    <x:row r="59">
      <x:c r="A59" s="33" t="s">
        <x:v>61</x:v>
      </x:c>
      <x:c r="B59" s="1" t="s">
        <x:v>85</x:v>
      </x:c>
      <x:c r="C59" s="27" t="n">
        <x:f>19.35+279.5+279.5+19.3+10.5+15</x:f>
        <x:v>623.15</x:v>
      </x:c>
      <x:c r="D59" s="34" t="n">
        <x:f>SUM(C59:C61)</x:f>
        <x:v>1399.15</x:v>
      </x:c>
    </x:row>
    <x:row r="60">
      <x:c r="A60" s="33"/>
      <x:c r="B60" s="1" t="s">
        <x:v>47</x:v>
      </x:c>
      <x:c r="C60" s="27">
        <x:v>26</x:v>
      </x:c>
      <x:c r="D60" s="34"/>
    </x:row>
    <x:row r="61">
      <x:c r="A61" s="33"/>
      <x:c r="B61" s="1" t="s">
        <x:v>86</x:v>
      </x:c>
      <x:c r="C61" s="27">
        <x:v>750</x:v>
      </x:c>
      <x:c r="D61" s="34"/>
    </x:row>
    <x:row r="62">
      <x:c r="A62" s="28" t="s">
        <x:v>63</x:v>
      </x:c>
      <x:c r="B62" s="2" t="s">
        <x:v>52</x:v>
      </x:c>
      <x:c r="C62" s="29"/>
      <x:c r="D62" s="29"/>
    </x:row>
    <x:row r="63">
      <x:c r="A63" s="33" t="s">
        <x:v>64</x:v>
      </x:c>
      <x:c r="B63" s="1" t="s">
        <x:v>62</x:v>
      </x:c>
      <x:c r="C63" s="27"/>
      <x:c r="D63" s="35" t="n">
        <x:f>SUM(C64:C65)</x:f>
        <x:v>0</x:v>
      </x:c>
    </x:row>
    <x:row r="64">
      <x:c r="A64" s="33"/>
      <x:c r="B64" s="3" t="s">
        <x:v>52</x:v>
      </x:c>
      <x:c r="C64" s="4"/>
      <x:c r="D64" s="35"/>
    </x:row>
    <x:row r="65">
      <x:c r="A65" s="28" t="s">
        <x:v>65</x:v>
      </x:c>
      <x:c r="B65" t="s">
        <x:v>52</x:v>
      </x:c>
      <x:c r="C65" s="5"/>
      <x:c r="D65" s="6"/>
    </x:row>
    <x:row r="66">
      <x:c r="A66" s="33" t="s">
        <x:v>66</x:v>
      </x:c>
      <x:c r="B66" s="3" t="s">
        <x:v>67</x:v>
      </x:c>
      <x:c r="C66" s="27" t="n">
        <x:f>113+40+26+50</x:f>
        <x:v>229</x:v>
      </x:c>
      <x:c r="D66" s="34" t="n">
        <x:f>SUM(C66:C67)</x:f>
        <x:v>314</x:v>
      </x:c>
    </x:row>
    <x:row r="67">
      <x:c r="A67" s="33"/>
      <x:c r="B67" s="3" t="s">
        <x:v>47</x:v>
      </x:c>
      <x:c r="C67" s="27">
        <x:v>85</x:v>
      </x:c>
      <x:c r="D67" s="34"/>
    </x:row>
    <x:row r="68">
      <x:c r="A68" s="31" t="s">
        <x:v>68</x:v>
      </x:c>
      <x:c r="B68" t="s">
        <x:v>87</x:v>
      </x:c>
      <x:c r="C68" s="29">
        <x:v>254.06</x:v>
      </x:c>
      <x:c r="D68" s="32" t="n">
        <x:f>SUM(C68:C71)</x:f>
        <x:v>437.34</x:v>
      </x:c>
    </x:row>
    <x:row r="69">
      <x:c r="A69" s="31"/>
      <x:c r="B69" t="s">
        <x:v>76</x:v>
      </x:c>
      <x:c r="C69" s="29">
        <x:v>31.72</x:v>
      </x:c>
      <x:c r="D69" s="32"/>
    </x:row>
    <x:row r="70">
      <x:c r="A70" s="31"/>
      <x:c r="B70" t="s">
        <x:v>22</x:v>
      </x:c>
      <x:c r="C70" s="29">
        <x:v>97.56</x:v>
      </x:c>
      <x:c r="D70" s="32"/>
    </x:row>
    <x:row r="71">
      <x:c r="A71" s="31"/>
      <x:c r="B71" t="s">
        <x:v>83</x:v>
      </x:c>
      <x:c r="C71" s="29">
        <x:v>54</x:v>
      </x:c>
      <x:c r="D71" s="32"/>
    </x:row>
    <x:row r="72">
      <x:c r="C72" s="7" t="s">
        <x:v>72</x:v>
      </x:c>
      <x:c r="D72" s="8" t="n" cm="1">
        <x:f t="array" ref="D72:D78">SUM(D1:D70)-(D7:D13)</x:f>
        <x:v>10840.530000000002</x:v>
      </x:c>
    </x:row>
    <x:row r="73">
      <x:c r="D73" t="n">
        <x:v>10877.490000000002</x:v>
      </x:c>
    </x:row>
    <x:row r="74">
      <x:c r="D74" t="n">
        <x:v>10877.490000000002</x:v>
      </x:c>
    </x:row>
    <x:row r="75">
      <x:c r="D75" t="n">
        <x:v>10877.490000000002</x:v>
      </x:c>
    </x:row>
    <x:row r="76">
      <x:c r="D76" t="n">
        <x:v>10767.470000000001</x:v>
      </x:c>
    </x:row>
    <x:row r="77">
      <x:c r="D77" t="n">
        <x:v>10877.490000000002</x:v>
      </x:c>
    </x:row>
    <x:row r="78">
      <x:c r="D78" t="n">
        <x:v>10877.490000000002</x:v>
      </x:c>
    </x:row>
  </x:sheetData>
  <x:mergeCells>
    <x:mergeCell ref="K24:K26"/>
    <x:mergeCell ref="N24:N26"/>
    <x:mergeCell ref="K27:K31"/>
    <x:mergeCell ref="N27:N31"/>
    <x:mergeCell ref="K32:K33"/>
    <x:mergeCell ref="N32:N33"/>
    <x:mergeCell ref="A66:A67"/>
    <x:mergeCell ref="D66:D67"/>
    <x:mergeCell ref="D59:D61"/>
    <x:mergeCell ref="A59:A61"/>
    <x:mergeCell ref="A68:A71"/>
    <x:mergeCell ref="D68:D71"/>
    <x:mergeCell ref="A55:A58"/>
    <x:mergeCell ref="D55:D58"/>
    <x:mergeCell ref="A63:A64"/>
    <x:mergeCell ref="D63:D64"/>
    <x:mergeCell ref="A34:A41"/>
    <x:mergeCell ref="D34:D41"/>
    <x:mergeCell ref="A42:A46"/>
    <x:mergeCell ref="D42:D46"/>
    <x:mergeCell ref="A47:A54"/>
    <x:mergeCell ref="D47:D54"/>
    <x:mergeCell ref="A14:A16"/>
    <x:mergeCell ref="D14:D16"/>
    <x:mergeCell ref="A17:A25"/>
    <x:mergeCell ref="D17:D25"/>
    <x:mergeCell ref="A26:A33"/>
    <x:mergeCell ref="D26:D33"/>
    <x:mergeCell ref="A1:A6"/>
    <x:mergeCell ref="D1:D6"/>
    <x:mergeCell ref="A7:A10"/>
    <x:mergeCell ref="D7:D10"/>
    <x:mergeCell ref="A11:A13"/>
    <x:mergeCell ref="D11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0.7265625" defaultRowHeight="14.5"/>
  <x:cols>
    <x:col min="1" max="1" width="13.7265625" customWidth="1"/>
    <x:col min="2" max="2" width="21.453125" customWidth="1"/>
    <x:col min="4" max="4" width="13.1796875" customWidth="1"/>
    <x:col min="8" max="8" width="16.26953125" customWidth="1"/>
    <x:col min="11" max="11" width="14.54296875" customWidth="1"/>
    <x:col min="12" max="12" width="16.453125" customWidth="1"/>
    <x:col min="13" max="13" width="13.26953125" customWidth="1"/>
  </x:cols>
  <x:sheetData>
    <x:row r="1">
      <x:c r="A1" s="33" t="s">
        <x:v>0</x:v>
      </x:c>
      <x:c r="B1" s="1" t="s">
        <x:v>1</x:v>
      </x:c>
      <x:c r="C1" s="27" t="n">
        <x:f>2.61 + 29.73 + 1.95 + 34 + 64.33 + 9.8 + 9.22</x:f>
        <x:v>151.64000000000001</x:v>
      </x:c>
      <x:c r="D1" s="34" t="n">
        <x:f>SUM(C1:C6)</x:f>
        <x:v>1074.78</x:v>
      </x:c>
    </x:row>
    <x:row r="2">
      <x:c r="A2" s="33"/>
      <x:c r="B2" s="1" t="s">
        <x:v>2</x:v>
      </x:c>
      <x:c r="C2" s="27" t="n">
        <x:f>34 + 5.35 + 44.73 + 50 + 132.04 + 66.78 + 5.37 + 106.66 + 51.8 + 32.04 + 164.17 - 30</x:f>
        <x:v>662.9399999999999</x:v>
      </x:c>
      <x:c r="D2" s="34"/>
    </x:row>
    <x:row r="3">
      <x:c r="A3" s="33"/>
      <x:c r="B3" s="1" t="s">
        <x:v>3</x:v>
      </x:c>
      <x:c r="C3" s="27" t="n">
        <x:f>3.48 + 12.84 + 0.95 + 3.18</x:f>
        <x:v>20.45</x:v>
      </x:c>
      <x:c r="D3" s="34"/>
    </x:row>
    <x:row r="4">
      <x:c r="A4" s="33"/>
      <x:c r="B4" s="1" t="s">
        <x:v>4</x:v>
      </x:c>
      <x:c r="C4" s="27" t="n">
        <x:f> 2.49 + 7.47 + 3.79</x:f>
        <x:v>13.75</x:v>
      </x:c>
      <x:c r="D4" s="34"/>
    </x:row>
    <x:row r="5">
      <x:c r="A5" s="33"/>
      <x:c r="B5" s="1" t="s">
        <x:v>5</x:v>
      </x:c>
      <x:c r="C5" s="27" t="n">
        <x:f> 7.2 + 28.95 + 0.45 + 8.4 + 25.45</x:f>
        <x:v>70.45</x:v>
      </x:c>
      <x:c r="D5" s="34"/>
    </x:row>
    <x:row r="6">
      <x:c r="A6" s="33"/>
      <x:c r="B6" s="1" t="s">
        <x:v>6</x:v>
      </x:c>
      <x:c r="C6" s="27" t="n">
        <x:f>47 + 11 + 44.3 + 53.25</x:f>
        <x:v>155.55</x:v>
      </x:c>
      <x:c r="D6" s="34"/>
      <x:c r="H6" t="s">
        <x:v>7</x:v>
      </x:c>
      <x:c r="I6" s="9">
        <x:v>6954.36</x:v>
      </x:c>
    </x:row>
    <x:row r="7">
      <x:c r="A7" s="31" t="s">
        <x:v>8</x:v>
      </x:c>
      <x:c r="B7" s="2" t="s">
        <x:v>9</x:v>
      </x:c>
      <x:c r="C7" s="29">
        <x:v>20</x:v>
      </x:c>
      <x:c r="D7" s="32" t="n">
        <x:f>SUM(C7:C10)</x:f>
        <x:v>80.94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/>
      <x:c r="D8" s="32"/>
      <x:c r="H8" t="s">
        <x:v>12</x:v>
      </x:c>
      <x:c r="I8" s="9" t="n">
        <x:f>-D73</x:f>
        <x:v>-7581.679999999999</x:v>
      </x:c>
    </x:row>
    <x:row r="9">
      <x:c r="A9" s="31"/>
      <x:c r="B9" s="2" t="s">
        <x:v>13</x:v>
      </x:c>
      <x:c r="C9" s="29">
        <x:v>60.94</x:v>
      </x:c>
      <x:c r="D9" s="32"/>
      <x:c r="H9" s="10" t="s">
        <x:v>14</x:v>
      </x:c>
      <x:c r="I9" s="11" t="n">
        <x:f>SUM(I6:I8)</x:f>
        <x:v>-109.31999999999971</x:v>
      </x:c>
    </x:row>
    <x:row r="10">
      <x:c r="A10" s="31"/>
      <x:c r="B10" s="2" t="s">
        <x:v>15</x:v>
      </x:c>
      <x:c r="C10" s="29"/>
      <x:c r="D10" s="32"/>
    </x:row>
    <x:row r="11">
      <x:c r="A11" s="33" t="s">
        <x:v>16</x:v>
      </x:c>
      <x:c r="B11" s="1" t="s">
        <x:v>17</x:v>
      </x:c>
      <x:c r="C11" s="27"/>
      <x:c r="D11" s="34" t="n">
        <x:f>SUM(C11:C13)</x:f>
        <x:v>0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/>
      <x:c r="D14" s="32" t="n">
        <x:f> SUM(C14:C16)</x:f>
        <x:v>137</x:v>
      </x:c>
    </x:row>
    <x:row r="15">
      <x:c r="A15" s="31"/>
      <x:c r="B15" s="2" t="s">
        <x:v>22</x:v>
      </x:c>
      <x:c r="C15" s="29" t="n">
        <x:f>33.7 + 53.3</x:f>
        <x:v>87</x:v>
      </x:c>
      <x:c r="D15" s="32"/>
    </x:row>
    <x:row r="16">
      <x:c r="A16" s="31"/>
      <x:c r="B16" t="s">
        <x:v>23</x:v>
      </x:c>
      <x:c r="C16" s="29">
        <x:v>50</x:v>
      </x:c>
      <x:c r="D16" s="32"/>
    </x:row>
    <x:row r="17">
      <x:c r="A17" s="33" t="s">
        <x:v>24</x:v>
      </x:c>
      <x:c r="B17" s="1" t="s">
        <x:v>25</x:v>
      </x:c>
      <x:c r="C17" s="27" t="n">
        <x:f>42+43 + 50 + 70</x:f>
        <x:v>205</x:v>
      </x:c>
      <x:c r="D17" s="34" t="n">
        <x:f>SUM(C17:C25)</x:f>
        <x:v>641.28</x:v>
      </x:c>
    </x:row>
    <x:row r="18">
      <x:c r="A18" s="33"/>
      <x:c r="B18" s="1" t="s">
        <x:v>26</x:v>
      </x:c>
      <x:c r="C18" s="27" t="n">
        <x:f>6.72 + 4.53 + 2.68 + 1.95</x:f>
        <x:v>15.879999999999999</x:v>
      </x:c>
      <x:c r="D18" s="34"/>
    </x:row>
    <x:row r="19">
      <x:c r="A19" s="33"/>
      <x:c r="B19" s="1" t="s">
        <x:v>27</x:v>
      </x:c>
      <x:c r="C19" s="27">
        <x:v>4.4000000000000004</x:v>
      </x:c>
      <x:c r="D19" s="34"/>
    </x:row>
    <x:row r="20">
      <x:c r="A20" s="33"/>
      <x:c r="B20" s="1" t="s">
        <x:v>28</x:v>
      </x:c>
      <x:c r="C20" s="27">
        <x:v>6</x:v>
      </x:c>
      <x:c r="D20" s="34"/>
    </x:row>
    <x:row r="21">
      <x:c r="A21" s="33"/>
      <x:c r="B21" s="1" t="s">
        <x:v>29</x:v>
      </x:c>
      <x:c r="C21" s="27">
        <x:v>52</x:v>
      </x:c>
      <x:c r="D21" s="34"/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/>
      <x:c r="D23" s="34"/>
    </x:row>
    <x:row r="24">
      <x:c r="A24" s="33"/>
      <x:c r="B24" s="1" t="s">
        <x:v>32</x:v>
      </x:c>
      <x:c r="C24" s="27"/>
      <x:c r="D24" s="34"/>
    </x:row>
    <x:row r="25">
      <x:c r="A25" s="33"/>
      <x:c r="B25" s="1" t="s">
        <x:v>33</x:v>
      </x:c>
      <x:c r="C25" s="27" t="n">
        <x:f>10</x:f>
        <x:v>10</x:v>
      </x:c>
      <x:c r="D25" s="34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2862.4</x:v>
      </x:c>
    </x:row>
    <x:row r="27">
      <x:c r="A27" s="31"/>
      <x:c r="B27" s="2" t="s">
        <x:v>36</x:v>
      </x:c>
      <x:c r="C27" s="29" t="n">
        <x:f>177+298.3</x:f>
        <x:v>475.3</x:v>
      </x:c>
      <x:c r="D27" s="32"/>
    </x:row>
    <x:row r="28">
      <x:c r="A28" s="31"/>
      <x:c r="B28" s="2" t="s">
        <x:v>26</x:v>
      </x:c>
      <x:c r="C28" s="29">
        <x:v>91</x:v>
      </x:c>
      <x:c r="D28" s="32"/>
    </x:row>
    <x:row r="29">
      <x:c r="A29" s="31"/>
      <x:c r="B29" s="2" t="s">
        <x:v>37</x:v>
      </x:c>
      <x:c r="C29" s="29"/>
      <x:c r="D29" s="32"/>
    </x:row>
    <x:row r="30">
      <x:c r="A30" s="31"/>
      <x:c r="B30" s="2" t="s">
        <x:v>38</x:v>
      </x:c>
      <x:c r="C30" s="29"/>
      <x:c r="D30" s="32"/>
    </x:row>
    <x:row r="31">
      <x:c r="A31" s="31"/>
      <x:c r="B31" s="2" t="s">
        <x:v>39</x:v>
      </x:c>
      <x:c r="C31" s="29"/>
      <x:c r="D31" s="32"/>
    </x:row>
    <x:row r="32">
      <x:c r="A32" s="31"/>
      <x:c r="B32" s="2" t="s">
        <x:v>40</x:v>
      </x:c>
      <x:c r="C32" s="29">
        <x:v>80</x:v>
      </x:c>
      <x:c r="D32" s="32"/>
    </x:row>
    <x:row r="33">
      <x:c r="A33" s="31"/>
      <x:c r="B33" s="2" t="s">
        <x:v>41</x:v>
      </x:c>
      <x:c r="C33" s="29" t="n">
        <x:f>84 + 107.1</x:f>
        <x:v>191.1</x:v>
      </x:c>
      <x:c r="D33" s="32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161.88000000000002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/>
      <x:c r="D36" s="34"/>
    </x:row>
    <x:row r="37">
      <x:c r="A37" s="33"/>
      <x:c r="B37" s="1" t="s">
        <x:v>45</x:v>
      </x:c>
      <x:c r="C37" s="27"/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 t="n">
        <x:f>103.98+25</x:f>
        <x:v>128.98000000000002</x:v>
      </x:c>
      <x:c r="D39" s="34"/>
    </x:row>
    <x:row r="40">
      <x:c r="A40" s="33"/>
      <x:c r="B40" s="3" t="s">
        <x:v>48</x:v>
      </x:c>
      <x:c r="C40" s="27"/>
      <x:c r="D40" s="34"/>
    </x:row>
    <x:row r="41">
      <x:c r="A41" s="33"/>
      <x:c r="B41" s="3" t="s">
        <x:v>49</x:v>
      </x:c>
      <x:c r="C41" s="27"/>
      <x:c r="D41" s="34"/>
    </x:row>
    <x:row r="42">
      <x:c r="A42" s="31" t="s">
        <x:v>50</x:v>
      </x:c>
      <x:c r="B42" s="2" t="s">
        <x:v>51</x:v>
      </x:c>
      <x:c r="C42" s="29">
        <x:v>53</x:v>
      </x:c>
      <x:c r="D42" s="32" t="n">
        <x:f>SUM(C42:C46)</x:f>
        <x:v>73</x:v>
      </x:c>
    </x:row>
    <x:row r="43">
      <x:c r="A43" s="31"/>
      <x:c r="B43" s="2" t="s">
        <x:v>52</x:v>
      </x:c>
      <x:c r="C43" s="29"/>
      <x:c r="D43" s="32"/>
    </x:row>
    <x:row r="44">
      <x:c r="A44" s="31"/>
      <x:c r="B44" s="2" t="s">
        <x:v>8</x:v>
      </x:c>
      <x:c r="C44" s="29">
        <x:v>20</x:v>
      </x:c>
      <x:c r="D44" s="32"/>
    </x:row>
    <x:row r="45">
      <x:c r="A45" s="31"/>
      <x:c r="B45" s="2" t="s">
        <x:v>48</x:v>
      </x:c>
      <x:c r="C45" s="29"/>
      <x:c r="D45" s="32"/>
    </x:row>
    <x:row r="46">
      <x:c r="A46" s="31"/>
      <x:c r="B46" s="2" t="s">
        <x:v>53</x:v>
      </x:c>
      <x:c r="C46" s="29"/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1129.02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/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/>
      <x:c r="D52" s="34"/>
    </x:row>
    <x:row r="53">
      <x:c r="A53" s="33"/>
      <x:c r="B53" s="1" t="s">
        <x:v>47</x:v>
      </x:c>
      <x:c r="C53" s="27" t="n">
        <x:f> 15</x:f>
        <x:v>15</x:v>
      </x:c>
      <x:c r="D53" s="34"/>
    </x:row>
    <x:row r="54">
      <x:c r="A54" s="33"/>
      <x:c r="B54" s="1" t="s">
        <x:v>60</x:v>
      </x:c>
      <x:c r="C54" s="27">
        <x:v>12.96</x:v>
      </x:c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SUM(C55:C58)</x:f>
        <x:v>528</x:v>
      </x:c>
    </x:row>
    <x:row r="56">
      <x:c r="A56" s="31"/>
      <x:c r="B56" s="2" t="s">
        <x:v>8</x:v>
      </x:c>
      <x:c r="C56" s="29">
        <x:v>20</x:v>
      </x:c>
      <x:c r="D56" s="32"/>
    </x:row>
    <x:row r="57">
      <x:c r="A57" s="31"/>
      <x:c r="B57" s="2" t="s">
        <x:v>60</x:v>
      </x:c>
      <x:c r="C57" s="29"/>
      <x:c r="D57" s="32"/>
    </x:row>
    <x:row r="58">
      <x:c r="A58" s="31"/>
      <x:c r="B58" t="s">
        <x:v>47</x:v>
      </x:c>
      <x:c r="C58" s="29" t="n">
        <x:f>128 + 10</x:f>
        <x:v>138</x:v>
      </x:c>
      <x:c r="D58" s="32"/>
    </x:row>
    <x:row r="59">
      <x:c r="A59" s="33" t="s">
        <x:v>61</x:v>
      </x:c>
      <x:c r="B59" s="1" t="s">
        <x:v>85</x:v>
      </x:c>
      <x:c r="C59" s="27" t="n">
        <x:f> 15.73 + 604.5</x:f>
        <x:v>620.23</x:v>
      </x:c>
      <x:c r="D59" s="34" t="n">
        <x:f>SUM(C59:C61)</x:f>
        <x:v>620.23</x:v>
      </x:c>
    </x:row>
    <x:row r="60">
      <x:c r="A60" s="33"/>
      <x:c r="B60" s="1" t="s">
        <x:v>47</x:v>
      </x:c>
      <x:c r="C60" s="27"/>
      <x:c r="D60" s="34"/>
    </x:row>
    <x:row r="61">
      <x:c r="A61" s="33"/>
      <x:c r="B61" s="1" t="s">
        <x:v>86</x:v>
      </x:c>
      <x:c r="C61" s="27"/>
      <x:c r="D61" s="34"/>
    </x:row>
    <x:row r="62">
      <x:c r="A62" s="28" t="s">
        <x:v>63</x:v>
      </x:c>
      <x:c r="B62" s="2" t="s">
        <x:v>52</x:v>
      </x:c>
      <x:c r="C62" s="29"/>
      <x:c r="D62" s="29"/>
    </x:row>
    <x:row r="63">
      <x:c r="A63" s="33" t="s">
        <x:v>64</x:v>
      </x:c>
      <x:c r="B63" s="1" t="s">
        <x:v>62</x:v>
      </x:c>
      <x:c r="C63" s="27"/>
      <x:c r="D63" s="35" t="n">
        <x:f>SUM(C64:C65)</x:f>
        <x:v>0</x:v>
      </x:c>
    </x:row>
    <x:row r="64">
      <x:c r="A64" s="33"/>
      <x:c r="B64" s="3" t="s">
        <x:v>52</x:v>
      </x:c>
      <x:c r="C64" s="4"/>
      <x:c r="D64" s="35"/>
    </x:row>
    <x:row r="65">
      <x:c r="A65" s="28" t="s">
        <x:v>65</x:v>
      </x:c>
      <x:c r="B65" t="s">
        <x:v>52</x:v>
      </x:c>
      <x:c r="C65" s="5"/>
      <x:c r="D65" s="6"/>
    </x:row>
    <x:row r="66">
      <x:c r="A66" s="33" t="s">
        <x:v>66</x:v>
      </x:c>
      <x:c r="B66" s="3" t="s">
        <x:v>67</x:v>
      </x:c>
      <x:c r="C66" s="27" t="n">
        <x:f>100 + 35</x:f>
        <x:v>135</x:v>
      </x:c>
      <x:c r="D66" s="34" t="n">
        <x:f>SUM(C66:C68)</x:f>
        <x:v>354.09000000000003</x:v>
      </x:c>
    </x:row>
    <x:row r="67">
      <x:c r="A67" s="33"/>
      <x:c r="B67" s="3" t="s">
        <x:v>88</x:v>
      </x:c>
      <x:c r="C67" s="27" t="n">
        <x:f> 10 + 20 + 6.6 + 7</x:f>
        <x:v>43.6</x:v>
      </x:c>
      <x:c r="D67" s="34"/>
    </x:row>
    <x:row r="68">
      <x:c r="A68" s="33"/>
      <x:c r="B68" s="3" t="s">
        <x:v>47</x:v>
      </x:c>
      <x:c r="C68" s="27" t="n">
        <x:f> 10 + 50 + 2.49 + 33 + 80</x:f>
        <x:v>175.49</x:v>
      </x:c>
      <x:c r="D68" s="34"/>
    </x:row>
    <x:row r="69">
      <x:c r="A69" s="31" t="s">
        <x:v>68</x:v>
      </x:c>
      <x:c r="B69" t="s">
        <x:v>87</x:v>
      </x:c>
      <x:c r="C69" s="29"/>
      <x:c r="D69" s="32" t="n">
        <x:f>SUM(C69:C72)</x:f>
        <x:v>0</x:v>
      </x:c>
    </x:row>
    <x:row r="70">
      <x:c r="A70" s="31"/>
      <x:c r="B70" t="s">
        <x:v>76</x:v>
      </x:c>
      <x:c r="C70" s="29"/>
      <x:c r="D70" s="32"/>
    </x:row>
    <x:row r="71">
      <x:c r="A71" s="31"/>
      <x:c r="B71" t="s">
        <x:v>22</x:v>
      </x:c>
      <x:c r="C71" s="29"/>
      <x:c r="D71" s="32"/>
    </x:row>
    <x:row r="72">
      <x:c r="A72" s="31"/>
      <x:c r="B72" t="s">
        <x:v>83</x:v>
      </x:c>
      <x:c r="C72" s="29"/>
      <x:c r="D72" s="32"/>
    </x:row>
    <x:row r="73">
      <x:c r="C73" s="7" t="s">
        <x:v>72</x:v>
      </x:c>
      <x:c r="D73" s="8" t="n" cm="1">
        <x:f t="array" ref="D73:D79">SUM(D1:D71)-(D7:D13)</x:f>
        <x:v>7581.679999999999</x:v>
      </x:c>
    </x:row>
    <x:row r="74">
      <x:c r="D74" t="n">
        <x:v>7662.619999999999</x:v>
      </x:c>
    </x:row>
    <x:row r="75">
      <x:c r="D75" t="n">
        <x:v>7662.619999999999</x:v>
      </x:c>
    </x:row>
    <x:row r="76">
      <x:c r="D76" t="n">
        <x:v>7662.619999999999</x:v>
      </x:c>
    </x:row>
    <x:row r="77">
      <x:c r="D77" t="n">
        <x:v>7662.619999999999</x:v>
      </x:c>
    </x:row>
    <x:row r="78">
      <x:c r="D78" t="n">
        <x:v>7662.619999999999</x:v>
      </x:c>
    </x:row>
    <x:row r="79">
      <x:c r="D79" t="n">
        <x:v>7662.619999999999</x:v>
      </x:c>
    </x:row>
  </x:sheetData>
  <x:mergeCells>
    <x:mergeCell ref="A1:A6"/>
    <x:mergeCell ref="D1:D6"/>
    <x:mergeCell ref="A7:A10"/>
    <x:mergeCell ref="D7:D10"/>
    <x:mergeCell ref="A11:A13"/>
    <x:mergeCell ref="D11:D13"/>
    <x:mergeCell ref="A34:A41"/>
    <x:mergeCell ref="D34:D41"/>
    <x:mergeCell ref="A42:A46"/>
    <x:mergeCell ref="D42:D46"/>
    <x:mergeCell ref="A14:A16"/>
    <x:mergeCell ref="D14:D16"/>
    <x:mergeCell ref="A17:A25"/>
    <x:mergeCell ref="D17:D25"/>
    <x:mergeCell ref="A26:A33"/>
    <x:mergeCell ref="D26:D33"/>
    <x:mergeCell ref="A47:A54"/>
    <x:mergeCell ref="D47:D54"/>
    <x:mergeCell ref="A55:A58"/>
    <x:mergeCell ref="D55:D58"/>
    <x:mergeCell ref="A59:A61"/>
    <x:mergeCell ref="D59:D61"/>
    <x:mergeCell ref="A63:A64"/>
    <x:mergeCell ref="D63:D64"/>
    <x:mergeCell ref="A69:A72"/>
    <x:mergeCell ref="D69:D72"/>
    <x:mergeCell ref="A66:A68"/>
    <x:mergeCell ref="D66:D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0.7265625" defaultRowHeight="14.5"/>
  <x:cols>
    <x:col min="1" max="1" width="13.7265625" customWidth="1"/>
    <x:col min="2" max="2" width="21.453125" customWidth="1"/>
    <x:col min="4" max="4" width="13.1796875" customWidth="1"/>
    <x:col min="8" max="8" width="16.26953125" customWidth="1"/>
  </x:cols>
  <x:sheetData>
    <x:row r="1">
      <x:c r="A1" s="33" t="s">
        <x:v>0</x:v>
      </x:c>
      <x:c r="B1" s="1" t="s">
        <x:v>1</x:v>
      </x:c>
      <x:c r="C1" s="27" t="n">
        <x:f> 83.48 + 77.84</x:f>
        <x:v>161.32</x:v>
      </x:c>
      <x:c r="D1" s="34" t="n">
        <x:f>SUM(C1:C6)</x:f>
        <x:v>1011.6999999999998</x:v>
      </x:c>
    </x:row>
    <x:row r="2">
      <x:c r="A2" s="33"/>
      <x:c r="B2" s="1" t="s">
        <x:v>2</x:v>
      </x:c>
      <x:c r="C2" s="27" t="n">
        <x:f> 85.61 + 24.45 + 4.59 + 17.51 + 15.31 + 145.44 + 25 + 20.98 + 14.02 + 79.67 + 102.2</x:f>
        <x:v>534.78</x:v>
      </x:c>
      <x:c r="D2" s="34"/>
    </x:row>
    <x:row r="3">
      <x:c r="A3" s="33"/>
      <x:c r="B3" s="1" t="s">
        <x:v>3</x:v>
      </x:c>
      <x:c r="C3" s="27" t="n">
        <x:f> 2.99 + 1.99 + 28.95 + 18.59 + 6.47 + 1.39</x:f>
        <x:v>60.379999999999995</x:v>
      </x:c>
      <x:c r="D3" s="34"/>
    </x:row>
    <x:row r="4">
      <x:c r="A4" s="33"/>
      <x:c r="B4" s="1" t="s">
        <x:v>4</x:v>
      </x:c>
      <x:c r="C4" s="27" t="n">
        <x:f> 8.48 + 19.26 + 25</x:f>
        <x:v>52.74</x:v>
      </x:c>
      <x:c r="D4" s="34"/>
    </x:row>
    <x:row r="5">
      <x:c r="A5" s="33"/>
      <x:c r="B5" s="1" t="s">
        <x:v>5</x:v>
      </x:c>
      <x:c r="C5" s="27" t="n">
        <x:f> 4.15 + 5.9 + 10</x:f>
        <x:v>20.05</x:v>
      </x:c>
      <x:c r="D5" s="34"/>
    </x:row>
    <x:row r="6">
      <x:c r="A6" s="33"/>
      <x:c r="B6" s="1" t="s">
        <x:v>6</x:v>
      </x:c>
      <x:c r="C6" s="27" t="n">
        <x:f> 53.62 + 19 + 20 + 89.81</x:f>
        <x:v>182.43</x:v>
      </x:c>
      <x:c r="D6" s="34"/>
      <x:c r="H6" t="s">
        <x:v>7</x:v>
      </x:c>
      <x:c r="I6" s="9">
        <x:v>6601.56</x:v>
      </x:c>
    </x:row>
    <x:row r="7">
      <x:c r="A7" s="31" t="s">
        <x:v>8</x:v>
      </x:c>
      <x:c r="B7" s="2" t="s">
        <x:v>9</x:v>
      </x:c>
      <x:c r="C7" s="29">
        <x:v>5</x:v>
      </x:c>
      <x:c r="D7" s="32" t="n">
        <x:f>SUM(C7:C10)</x:f>
        <x:v>5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/>
      <x:c r="D8" s="32"/>
      <x:c r="H8" t="s">
        <x:v>12</x:v>
      </x:c>
      <x:c r="I8" s="9" t="n">
        <x:f>-D72</x:f>
        <x:v>-7797.359999999999</x:v>
      </x:c>
    </x:row>
    <x:row r="9">
      <x:c r="A9" s="31"/>
      <x:c r="B9" s="2" t="s">
        <x:v>13</x:v>
      </x:c>
      <x:c r="C9" s="29"/>
      <x:c r="D9" s="32"/>
      <x:c r="H9" s="10" t="s">
        <x:v>14</x:v>
      </x:c>
      <x:c r="I9" s="11" t="n">
        <x:f>SUM(I6:I8)</x:f>
        <x:v>-677.7999999999984</x:v>
      </x:c>
    </x:row>
    <x:row r="10">
      <x:c r="A10" s="31"/>
      <x:c r="B10" s="2" t="s">
        <x:v>15</x:v>
      </x:c>
      <x:c r="C10" s="29"/>
      <x:c r="D10" s="32"/>
    </x:row>
    <x:row r="11">
      <x:c r="A11" s="33" t="s">
        <x:v>16</x:v>
      </x:c>
      <x:c r="B11" s="1" t="s">
        <x:v>17</x:v>
      </x:c>
      <x:c r="C11" s="27"/>
      <x:c r="D11" s="34" t="n">
        <x:f>SUM(C11:C13)</x:f>
        <x:v>0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>
        <x:v>19.2</x:v>
      </x:c>
      <x:c r="D14" s="32" t="n">
        <x:f> SUM(C14:C16)</x:f>
        <x:v>211.7</x:v>
      </x:c>
    </x:row>
    <x:row r="15">
      <x:c r="A15" s="31"/>
      <x:c r="B15" s="2" t="s">
        <x:v>22</x:v>
      </x:c>
      <x:c r="C15" s="29" t="n">
        <x:f> 31 + 18.9 + 5.95 + 110.95 + 25.7</x:f>
        <x:v>192.5</x:v>
      </x:c>
      <x:c r="D15" s="32"/>
    </x:row>
    <x:row r="16">
      <x:c r="A16" s="31"/>
      <x:c r="B16" t="s">
        <x:v>23</x:v>
      </x:c>
      <x:c r="C16" s="29"/>
      <x:c r="D16" s="32"/>
    </x:row>
    <x:row r="17">
      <x:c r="A17" s="33" t="s">
        <x:v>24</x:v>
      </x:c>
      <x:c r="B17" s="1" t="s">
        <x:v>25</x:v>
      </x:c>
      <x:c r="C17" s="27" t="n">
        <x:f> 39</x:f>
        <x:v>39</x:v>
      </x:c>
      <x:c r="D17" s="34" t="n">
        <x:f>SUM(C17:C25)</x:f>
        <x:v>1883.56</x:v>
      </x:c>
    </x:row>
    <x:row r="18">
      <x:c r="A18" s="33"/>
      <x:c r="B18" s="1" t="s">
        <x:v>26</x:v>
      </x:c>
      <x:c r="C18" s="27">
        <x:v>13</x:v>
      </x:c>
      <x:c r="D18" s="34"/>
    </x:row>
    <x:row r="19">
      <x:c r="A19" s="33"/>
      <x:c r="B19" s="1" t="s">
        <x:v>27</x:v>
      </x:c>
      <x:c r="C19" s="27"/>
      <x:c r="D19" s="34"/>
    </x:row>
    <x:row r="20">
      <x:c r="A20" s="33"/>
      <x:c r="B20" s="1" t="s">
        <x:v>28</x:v>
      </x:c>
      <x:c r="C20" s="27"/>
      <x:c r="D20" s="34"/>
    </x:row>
    <x:row r="21">
      <x:c r="A21" s="33"/>
      <x:c r="B21" s="1" t="s">
        <x:v>29</x:v>
      </x:c>
      <x:c r="C21" s="27">
        <x:v>1391.51</x:v>
      </x:c>
      <x:c r="D21" s="34"/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 t="n">
        <x:f> 4.15 + 8.3 + 8.3 + 63 + 8.3</x:f>
        <x:v>92.05</x:v>
      </x:c>
      <x:c r="D23" s="34"/>
    </x:row>
    <x:row r="24">
      <x:c r="A24" s="33"/>
      <x:c r="B24" s="1" t="s">
        <x:v>32</x:v>
      </x:c>
      <x:c r="C24" s="27"/>
      <x:c r="D24" s="34"/>
    </x:row>
    <x:row r="25">
      <x:c r="A25" s="33"/>
      <x:c r="B25" s="1" t="s">
        <x:v>33</x:v>
      </x:c>
      <x:c r="C25" s="27"/>
      <x:c r="D25" s="34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2685.8700000000003</x:v>
      </x:c>
    </x:row>
    <x:row r="27">
      <x:c r="A27" s="31"/>
      <x:c r="B27" s="2" t="s">
        <x:v>36</x:v>
      </x:c>
      <x:c r="C27" s="29" t="n">
        <x:f>177+298.3</x:f>
        <x:v>475.3</x:v>
      </x:c>
      <x:c r="D27" s="32"/>
    </x:row>
    <x:row r="28">
      <x:c r="A28" s="31"/>
      <x:c r="B28" s="2" t="s">
        <x:v>26</x:v>
      </x:c>
      <x:c r="C28" s="29">
        <x:v>91</x:v>
      </x:c>
      <x:c r="D28" s="32"/>
    </x:row>
    <x:row r="29">
      <x:c r="A29" s="31"/>
      <x:c r="B29" s="2" t="s">
        <x:v>37</x:v>
      </x:c>
      <x:c r="C29" s="29"/>
      <x:c r="D29" s="32"/>
    </x:row>
    <x:row r="30">
      <x:c r="A30" s="31"/>
      <x:c r="B30" s="2" t="s">
        <x:v>38</x:v>
      </x:c>
      <x:c r="C30" s="29"/>
      <x:c r="D30" s="32"/>
    </x:row>
    <x:row r="31">
      <x:c r="A31" s="31"/>
      <x:c r="B31" s="2" t="s">
        <x:v>39</x:v>
      </x:c>
      <x:c r="C31" s="29"/>
      <x:c r="D31" s="32"/>
    </x:row>
    <x:row r="32">
      <x:c r="A32" s="31"/>
      <x:c r="B32" s="2" t="s">
        <x:v>40</x:v>
      </x:c>
      <x:c r="C32" s="29" t="n">
        <x:f> 86.58 + 7.99</x:f>
        <x:v>94.57</x:v>
      </x:c>
      <x:c r="D32" s="32"/>
    </x:row>
    <x:row r="33">
      <x:c r="A33" s="31"/>
      <x:c r="B33" s="2" t="s">
        <x:v>41</x:v>
      </x:c>
      <x:c r="C33" s="29"/>
      <x:c r="D33" s="32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42.9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/>
      <x:c r="D36" s="34"/>
    </x:row>
    <x:row r="37">
      <x:c r="A37" s="33"/>
      <x:c r="B37" s="1" t="s">
        <x:v>45</x:v>
      </x:c>
      <x:c r="C37" s="27"/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/>
      <x:c r="D39" s="34"/>
    </x:row>
    <x:row r="40">
      <x:c r="A40" s="33"/>
      <x:c r="B40" s="3" t="s">
        <x:v>48</x:v>
      </x:c>
      <x:c r="C40" s="27">
        <x:v>10</x:v>
      </x:c>
      <x:c r="D40" s="34"/>
    </x:row>
    <x:row r="41">
      <x:c r="A41" s="33"/>
      <x:c r="B41" s="3" t="s">
        <x:v>49</x:v>
      </x:c>
      <x:c r="C41" s="27"/>
      <x:c r="D41" s="34"/>
    </x:row>
    <x:row r="42">
      <x:c r="A42" s="31" t="s">
        <x:v>50</x:v>
      </x:c>
      <x:c r="B42" s="2" t="s">
        <x:v>51</x:v>
      </x:c>
      <x:c r="C42" s="29">
        <x:v>53</x:v>
      </x:c>
      <x:c r="D42" s="32" t="n">
        <x:f>SUM(C42:C46)</x:f>
        <x:v>353.99</x:v>
      </x:c>
    </x:row>
    <x:row r="43">
      <x:c r="A43" s="31"/>
      <x:c r="B43" s="2" t="s">
        <x:v>52</x:v>
      </x:c>
      <x:c r="C43" s="29"/>
      <x:c r="D43" s="32"/>
    </x:row>
    <x:row r="44">
      <x:c r="A44" s="31"/>
      <x:c r="B44" s="2" t="s">
        <x:v>8</x:v>
      </x:c>
      <x:c r="C44" s="29">
        <x:v>5</x:v>
      </x:c>
      <x:c r="D44" s="32"/>
    </x:row>
    <x:row r="45">
      <x:c r="A45" s="31"/>
      <x:c r="B45" s="2" t="s">
        <x:v>48</x:v>
      </x:c>
      <x:c r="C45" s="29">
        <x:v>295.99</x:v>
      </x:c>
      <x:c r="D45" s="32"/>
    </x:row>
    <x:row r="46">
      <x:c r="A46" s="31"/>
      <x:c r="B46" s="2" t="s">
        <x:v>53</x:v>
      </x:c>
      <x:c r="C46" s="29"/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1101.06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/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/>
      <x:c r="D52" s="34"/>
    </x:row>
    <x:row r="53">
      <x:c r="A53" s="33"/>
      <x:c r="B53" s="1" t="s">
        <x:v>47</x:v>
      </x:c>
      <x:c r="C53" s="27"/>
      <x:c r="D53" s="34"/>
    </x:row>
    <x:row r="54">
      <x:c r="A54" s="33"/>
      <x:c r="B54" s="1" t="s">
        <x:v>60</x:v>
      </x:c>
      <x:c r="C54" s="27"/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SUM(C55:C58)</x:f>
        <x:v>380</x:v>
      </x:c>
    </x:row>
    <x:row r="56">
      <x:c r="A56" s="31"/>
      <x:c r="B56" s="2" t="s">
        <x:v>8</x:v>
      </x:c>
      <x:c r="C56" s="29">
        <x:v>10</x:v>
      </x:c>
      <x:c r="D56" s="32"/>
    </x:row>
    <x:row r="57">
      <x:c r="A57" s="31"/>
      <x:c r="B57" s="2" t="s">
        <x:v>60</x:v>
      </x:c>
      <x:c r="C57" s="29"/>
      <x:c r="D57" s="32"/>
    </x:row>
    <x:row r="58">
      <x:c r="A58" s="31"/>
      <x:c r="B58" t="s">
        <x:v>47</x:v>
      </x:c>
      <x:c r="C58" s="29"/>
      <x:c r="D58" s="32"/>
    </x:row>
    <x:row r="59">
      <x:c r="A59" s="33" t="s">
        <x:v>61</x:v>
      </x:c>
      <x:c r="B59" s="1" t="s">
        <x:v>85</x:v>
      </x:c>
      <x:c r="C59" s="27" t="n">
        <x:f> 14 + 16.5 + 15.73</x:f>
        <x:v>46.230000000000004</x:v>
      </x:c>
      <x:c r="D59" s="34" t="n">
        <x:f>SUM(C59:C61)</x:f>
        <x:v>49.580000000000005</x:v>
      </x:c>
    </x:row>
    <x:row r="60">
      <x:c r="A60" s="33"/>
      <x:c r="B60" s="1" t="s">
        <x:v>47</x:v>
      </x:c>
      <x:c r="C60" s="27">
        <x:v>3.35</x:v>
      </x:c>
      <x:c r="D60" s="34"/>
    </x:row>
    <x:row r="61">
      <x:c r="A61" s="33"/>
      <x:c r="B61" s="1" t="s">
        <x:v>86</x:v>
      </x:c>
      <x:c r="C61" s="27"/>
      <x:c r="D61" s="34"/>
    </x:row>
    <x:row r="62">
      <x:c r="A62" s="28" t="s">
        <x:v>63</x:v>
      </x:c>
      <x:c r="B62" s="2" t="s">
        <x:v>52</x:v>
      </x:c>
      <x:c r="C62" s="29"/>
      <x:c r="D62" s="29"/>
    </x:row>
    <x:row r="63">
      <x:c r="A63" s="33" t="s">
        <x:v>64</x:v>
      </x:c>
      <x:c r="B63" s="1" t="s">
        <x:v>62</x:v>
      </x:c>
      <x:c r="C63" s="27"/>
      <x:c r="D63" s="35" t="n">
        <x:f>SUM(C64:C65)</x:f>
        <x:v>0</x:v>
      </x:c>
    </x:row>
    <x:row r="64">
      <x:c r="A64" s="33"/>
      <x:c r="B64" s="3" t="s">
        <x:v>52</x:v>
      </x:c>
      <x:c r="C64" s="4"/>
      <x:c r="D64" s="35"/>
    </x:row>
    <x:row r="65">
      <x:c r="A65" s="28" t="s">
        <x:v>65</x:v>
      </x:c>
      <x:c r="B65" t="s">
        <x:v>52</x:v>
      </x:c>
      <x:c r="C65" s="5"/>
      <x:c r="D65" s="6"/>
    </x:row>
    <x:row r="66">
      <x:c r="A66" s="33" t="s">
        <x:v>66</x:v>
      </x:c>
      <x:c r="B66" s="3" t="s">
        <x:v>67</x:v>
      </x:c>
      <x:c r="C66" s="27"/>
      <x:c r="D66" s="34" t="n">
        <x:f>SUM(C66:C67)</x:f>
        <x:v>77</x:v>
      </x:c>
    </x:row>
    <x:row r="67">
      <x:c r="A67" s="33"/>
      <x:c r="B67" s="3" t="s">
        <x:v>88</x:v>
      </x:c>
      <x:c r="C67" s="27" t="n">
        <x:f> 20 + 7 + 50</x:f>
        <x:v>77</x:v>
      </x:c>
      <x:c r="D67" s="34"/>
    </x:row>
    <x:row r="68">
      <x:c r="A68" s="31" t="s">
        <x:v>68</x:v>
      </x:c>
      <x:c r="B68" t="s">
        <x:v>87</x:v>
      </x:c>
      <x:c r="C68" s="29"/>
      <x:c r="D68" s="32" t="n">
        <x:f>SUM(C68:C71)</x:f>
        <x:v>0</x:v>
      </x:c>
    </x:row>
    <x:row r="69">
      <x:c r="A69" s="31"/>
      <x:c r="B69" t="s">
        <x:v>76</x:v>
      </x:c>
      <x:c r="C69" s="29"/>
      <x:c r="D69" s="32"/>
    </x:row>
    <x:row r="70">
      <x:c r="A70" s="31"/>
      <x:c r="B70" t="s">
        <x:v>22</x:v>
      </x:c>
      <x:c r="C70" s="29"/>
      <x:c r="D70" s="32"/>
    </x:row>
    <x:row r="71">
      <x:c r="A71" s="31"/>
      <x:c r="B71" t="s">
        <x:v>83</x:v>
      </x:c>
      <x:c r="C71" s="29"/>
      <x:c r="D71" s="32"/>
    </x:row>
    <x:row r="72">
      <x:c r="D72" s="13" t="n">
        <x:f>SUM(D1:D71) - (D7)</x:f>
        <x:v>7797.359999999999</x:v>
      </x:c>
    </x:row>
  </x:sheetData>
  <x:mergeCells>
    <x:mergeCell ref="A66:A67"/>
    <x:mergeCell ref="D66:D67"/>
    <x:mergeCell ref="A68:A71"/>
    <x:mergeCell ref="D68:D71"/>
    <x:mergeCell ref="A55:A58"/>
    <x:mergeCell ref="D55:D58"/>
    <x:mergeCell ref="A59:A61"/>
    <x:mergeCell ref="D59:D61"/>
    <x:mergeCell ref="A63:A64"/>
    <x:mergeCell ref="D63:D64"/>
    <x:mergeCell ref="A34:A41"/>
    <x:mergeCell ref="D34:D41"/>
    <x:mergeCell ref="A42:A46"/>
    <x:mergeCell ref="D42:D46"/>
    <x:mergeCell ref="A47:A54"/>
    <x:mergeCell ref="D47:D54"/>
    <x:mergeCell ref="A14:A16"/>
    <x:mergeCell ref="D14:D16"/>
    <x:mergeCell ref="A17:A25"/>
    <x:mergeCell ref="D17:D25"/>
    <x:mergeCell ref="A26:A33"/>
    <x:mergeCell ref="D26:D33"/>
    <x:mergeCell ref="A1:A6"/>
    <x:mergeCell ref="D1:D6"/>
    <x:mergeCell ref="A7:A10"/>
    <x:mergeCell ref="D7:D10"/>
    <x:mergeCell ref="A11:A13"/>
    <x:mergeCell ref="D11:D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7265625" defaultRowHeight="14.5"/>
  <x:cols>
    <x:col min="1" max="1" width="15.453125" customWidth="1"/>
    <x:col min="2" max="2" width="25.26953125" customWidth="1"/>
    <x:col min="3" max="3" width="14.81640625" customWidth="1"/>
    <x:col min="9" max="9" width="13.54296875" customWidth="1"/>
  </x:cols>
  <x:sheetData>
    <x:row r="1">
      <x:c r="A1" s="33" t="s">
        <x:v>0</x:v>
      </x:c>
      <x:c r="B1" s="1" t="s">
        <x:v>1</x:v>
      </x:c>
      <x:c r="C1" s="27" t="n">
        <x:f> 14.64 + 57.27</x:f>
        <x:v>71.91</x:v>
      </x:c>
      <x:c r="D1" s="34" t="n">
        <x:f>SUM(C1:C6)</x:f>
        <x:v>774.36</x:v>
      </x:c>
    </x:row>
    <x:row r="2">
      <x:c r="A2" s="33"/>
      <x:c r="B2" s="1" t="s">
        <x:v>2</x:v>
      </x:c>
      <x:c r="C2" s="27" t="n">
        <x:f> 102.59 + 120.08 + 42 + 30.71 + 75.86 + 23.3 + 51.16</x:f>
        <x:v>445.70000000000005</x:v>
      </x:c>
      <x:c r="D2" s="34"/>
    </x:row>
    <x:row r="3">
      <x:c r="A3" s="33"/>
      <x:c r="B3" s="1" t="s">
        <x:v>3</x:v>
      </x:c>
      <x:c r="C3" s="27" t="n">
        <x:f> 4.23 + 20.73 + 6.79 + 5.25 + 4.88</x:f>
        <x:v>41.88</x:v>
      </x:c>
      <x:c r="D3" s="34"/>
    </x:row>
    <x:row r="4">
      <x:c r="A4" s="33"/>
      <x:c r="B4" s="1" t="s">
        <x:v>4</x:v>
      </x:c>
      <x:c r="C4" s="27" t="n">
        <x:f> 5.49</x:f>
        <x:v>5.49</x:v>
      </x:c>
      <x:c r="D4" s="34"/>
    </x:row>
    <x:row r="5">
      <x:c r="A5" s="33"/>
      <x:c r="B5" s="1" t="s">
        <x:v>5</x:v>
      </x:c>
      <x:c r="C5" s="27" t="n">
        <x:f> 36 + 60.4</x:f>
        <x:v>96.4</x:v>
      </x:c>
      <x:c r="D5" s="34"/>
    </x:row>
    <x:row r="6">
      <x:c r="A6" s="33"/>
      <x:c r="B6" s="1" t="s">
        <x:v>6</x:v>
      </x:c>
      <x:c r="C6" s="27" t="n">
        <x:f> 92.88 + 20.1</x:f>
        <x:v>112.97999999999999</x:v>
      </x:c>
      <x:c r="D6" s="34"/>
      <x:c r="H6" t="s">
        <x:v>7</x:v>
      </x:c>
      <x:c r="I6" s="9">
        <x:v>6936.48</x:v>
      </x:c>
    </x:row>
    <x:row r="7">
      <x:c r="A7" s="31" t="s">
        <x:v>8</x:v>
      </x:c>
      <x:c r="B7" s="2" t="s">
        <x:v>9</x:v>
      </x:c>
      <x:c r="C7" s="29"/>
      <x:c r="D7" s="32" t="n">
        <x:f>SUM(C7:C10)</x:f>
        <x:v>126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>
        <x:v>42</x:v>
      </x:c>
      <x:c r="D8" s="32"/>
      <x:c r="H8" t="s">
        <x:v>12</x:v>
      </x:c>
      <x:c r="I8" s="9" t="n">
        <x:f>-D72</x:f>
        <x:v>-8364.77</x:v>
      </x:c>
    </x:row>
    <x:row r="9">
      <x:c r="A9" s="31"/>
      <x:c r="B9" s="2" t="s">
        <x:v>13</x:v>
      </x:c>
      <x:c r="C9" s="29"/>
      <x:c r="D9" s="32"/>
      <x:c r="H9" s="10" t="s">
        <x:v>14</x:v>
      </x:c>
      <x:c r="I9" s="11" t="n">
        <x:f>SUM(I6:I8)</x:f>
        <x:v>-910.2900000000009</x:v>
      </x:c>
    </x:row>
    <x:row r="10">
      <x:c r="A10" s="31"/>
      <x:c r="B10" s="2" t="s">
        <x:v>89</x:v>
      </x:c>
      <x:c r="C10" s="29">
        <x:v>84</x:v>
      </x:c>
      <x:c r="D10" s="32"/>
    </x:row>
    <x:row r="11">
      <x:c r="A11" s="33" t="s">
        <x:v>16</x:v>
      </x:c>
      <x:c r="B11" s="1" t="s">
        <x:v>17</x:v>
      </x:c>
      <x:c r="C11" s="27"/>
      <x:c r="D11" s="34" t="n">
        <x:f>SUM(C11:C13)</x:f>
        <x:v>0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/>
      <x:c r="D14" s="32" t="n">
        <x:f> SUM(C14:C16)</x:f>
        <x:v>160</x:v>
      </x:c>
    </x:row>
    <x:row r="15">
      <x:c r="A15" s="31"/>
      <x:c r="B15" s="2" t="s">
        <x:v>22</x:v>
      </x:c>
      <x:c r="C15" s="29" t="n">
        <x:f> 17 + 16 + 30 + 45</x:f>
        <x:v>108</x:v>
      </x:c>
      <x:c r="D15" s="32"/>
    </x:row>
    <x:row r="16">
      <x:c r="A16" s="31"/>
      <x:c r="B16" t="s">
        <x:v>23</x:v>
      </x:c>
      <x:c r="C16" s="29">
        <x:v>52</x:v>
      </x:c>
      <x:c r="D16" s="32"/>
    </x:row>
    <x:row r="17">
      <x:c r="A17" s="33" t="s">
        <x:v>24</x:v>
      </x:c>
      <x:c r="B17" s="1" t="s">
        <x:v>25</x:v>
      </x:c>
      <x:c r="C17" s="27" t="n">
        <x:f> 25 + 30 + 30 + 71.06</x:f>
        <x:v>156.06</x:v>
      </x:c>
      <x:c r="D17" s="34" t="n">
        <x:f>SUM(C17:C25)</x:f>
        <x:v>584.16</x:v>
      </x:c>
    </x:row>
    <x:row r="18">
      <x:c r="A18" s="33"/>
      <x:c r="B18" s="1" t="s">
        <x:v>26</x:v>
      </x:c>
      <x:c r="C18" s="27"/>
      <x:c r="D18" s="34"/>
    </x:row>
    <x:row r="19">
      <x:c r="A19" s="33"/>
      <x:c r="B19" s="1" t="s">
        <x:v>27</x:v>
      </x:c>
      <x:c r="C19" s="27" t="n">
        <x:f> 6 + 11 + 1.1</x:f>
        <x:v>18.1</x:v>
      </x:c>
      <x:c r="D19" s="34"/>
    </x:row>
    <x:row r="20">
      <x:c r="A20" s="33"/>
      <x:c r="B20" s="1" t="s">
        <x:v>28</x:v>
      </x:c>
      <x:c r="C20" s="27"/>
      <x:c r="D20" s="34"/>
    </x:row>
    <x:row r="21">
      <x:c r="A21" s="33"/>
      <x:c r="B21" s="1" t="s">
        <x:v>29</x:v>
      </x:c>
      <x:c r="C21" s="27"/>
      <x:c r="D21" s="34"/>
      <x:c r="K21" t="s">
        <x:v>90</x:v>
      </x:c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 t="n">
        <x:f> 62</x:f>
        <x:v>62</x:v>
      </x:c>
      <x:c r="D23" s="34"/>
    </x:row>
    <x:row r="24">
      <x:c r="A24" s="33"/>
      <x:c r="B24" s="1" t="s">
        <x:v>32</x:v>
      </x:c>
      <x:c r="C24" s="27"/>
      <x:c r="D24" s="34"/>
    </x:row>
    <x:row r="25">
      <x:c r="A25" s="33"/>
      <x:c r="B25" s="1" t="s">
        <x:v>33</x:v>
      </x:c>
      <x:c r="C25" s="27"/>
      <x:c r="D25" s="34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2610.29</x:v>
      </x:c>
    </x:row>
    <x:row r="27">
      <x:c r="A27" s="31"/>
      <x:c r="B27" s="2" t="s">
        <x:v>36</x:v>
      </x:c>
      <x:c r="C27" s="29" t="n">
        <x:f>177+298.3</x:f>
        <x:v>475.3</x:v>
      </x:c>
      <x:c r="D27" s="32"/>
    </x:row>
    <x:row r="28">
      <x:c r="A28" s="31"/>
      <x:c r="B28" s="2" t="s">
        <x:v>26</x:v>
      </x:c>
      <x:c r="C28" s="29">
        <x:v>91</x:v>
      </x:c>
      <x:c r="D28" s="32"/>
    </x:row>
    <x:row r="29">
      <x:c r="A29" s="31"/>
      <x:c r="B29" s="2" t="s">
        <x:v>37</x:v>
      </x:c>
      <x:c r="C29" s="29"/>
      <x:c r="D29" s="32"/>
    </x:row>
    <x:row r="30">
      <x:c r="A30" s="31"/>
      <x:c r="B30" s="2" t="s">
        <x:v>38</x:v>
      </x:c>
      <x:c r="C30" s="29"/>
      <x:c r="D30" s="32"/>
    </x:row>
    <x:row r="31">
      <x:c r="A31" s="31"/>
      <x:c r="B31" s="2" t="s">
        <x:v>39</x:v>
      </x:c>
      <x:c r="C31" s="29"/>
      <x:c r="D31" s="32"/>
    </x:row>
    <x:row r="32">
      <x:c r="A32" s="31"/>
      <x:c r="B32" s="2" t="s">
        <x:v>40</x:v>
      </x:c>
      <x:c r="C32" s="29" t="n">
        <x:f> 18.99</x:f>
        <x:v>18.99</x:v>
      </x:c>
      <x:c r="D32" s="32"/>
    </x:row>
    <x:row r="33">
      <x:c r="A33" s="31"/>
      <x:c r="B33" s="2" t="s">
        <x:v>41</x:v>
      </x:c>
      <x:c r="C33" s="29"/>
      <x:c r="D33" s="32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221.3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 t="n">
        <x:f> 25 + 65</x:f>
        <x:v>90</x:v>
      </x:c>
      <x:c r="D36" s="34"/>
    </x:row>
    <x:row r="37">
      <x:c r="A37" s="33"/>
      <x:c r="B37" s="1" t="s">
        <x:v>45</x:v>
      </x:c>
      <x:c r="C37" s="27"/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>
        <x:v>98.4</x:v>
      </x:c>
      <x:c r="D39" s="34"/>
    </x:row>
    <x:row r="40">
      <x:c r="A40" s="33"/>
      <x:c r="B40" s="3" t="s">
        <x:v>48</x:v>
      </x:c>
      <x:c r="C40" s="27"/>
      <x:c r="D40" s="34"/>
    </x:row>
    <x:row r="41">
      <x:c r="A41" s="33"/>
      <x:c r="B41" s="3" t="s">
        <x:v>49</x:v>
      </x:c>
      <x:c r="C41" s="27"/>
      <x:c r="D41" s="34"/>
    </x:row>
    <x:row r="42">
      <x:c r="A42" s="31" t="s">
        <x:v>50</x:v>
      </x:c>
      <x:c r="B42" s="2" t="s">
        <x:v>51</x:v>
      </x:c>
      <x:c r="C42" s="29">
        <x:v>53</x:v>
      </x:c>
      <x:c r="D42" s="32" t="n">
        <x:f>SUM(C42:C46)</x:f>
        <x:v>732.43</x:v>
      </x:c>
    </x:row>
    <x:row r="43">
      <x:c r="A43" s="31"/>
      <x:c r="B43" s="2" t="s">
        <x:v>52</x:v>
      </x:c>
      <x:c r="C43" s="29" t="n">
        <x:f> 35 + 60.4</x:f>
        <x:v>95.4</x:v>
      </x:c>
      <x:c r="D43" s="32"/>
    </x:row>
    <x:row r="44">
      <x:c r="A44" s="31"/>
      <x:c r="B44" s="2" t="s">
        <x:v>8</x:v>
      </x:c>
      <x:c r="C44" s="29" t="n">
        <x:f> 98 + 65 + 38</x:f>
        <x:v>201</x:v>
      </x:c>
      <x:c r="D44" s="32"/>
    </x:row>
    <x:row r="45">
      <x:c r="A45" s="31"/>
      <x:c r="B45" s="2" t="s">
        <x:v>48</x:v>
      </x:c>
      <x:c r="C45" s="29" t="n">
        <x:f> 383.03</x:f>
        <x:v>383.03</x:v>
      </x:c>
      <x:c r="D45" s="32"/>
    </x:row>
    <x:row r="46">
      <x:c r="A46" s="31"/>
      <x:c r="B46" s="2" t="s">
        <x:v>53</x:v>
      </x:c>
      <x:c r="C46" s="29"/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1281.01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 t="n">
        <x:f> 20 + 60 + 30 + 45 + 10</x:f>
        <x:v>165</x:v>
      </x:c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/>
      <x:c r="D52" s="34"/>
    </x:row>
    <x:row r="53">
      <x:c r="A53" s="33"/>
      <x:c r="B53" s="1" t="s">
        <x:v>47</x:v>
      </x:c>
      <x:c r="C53" s="27">
        <x:v>14.95</x:v>
      </x:c>
      <x:c r="D53" s="34"/>
    </x:row>
    <x:row r="54">
      <x:c r="A54" s="33"/>
      <x:c r="B54" s="1" t="s">
        <x:v>60</x:v>
      </x:c>
      <x:c r="C54" s="27"/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SUM(C55:C58)</x:f>
        <x:v>508</x:v>
      </x:c>
    </x:row>
    <x:row r="56">
      <x:c r="A56" s="31"/>
      <x:c r="B56" s="2" t="s">
        <x:v>8</x:v>
      </x:c>
      <x:c r="C56" s="29" t="n">
        <x:f> 20 + 40 + 17</x:f>
        <x:v>77</x:v>
      </x:c>
      <x:c r="D56" s="32"/>
    </x:row>
    <x:row r="57">
      <x:c r="A57" s="31"/>
      <x:c r="B57" s="2" t="s">
        <x:v>60</x:v>
      </x:c>
      <x:c r="C57" s="29"/>
      <x:c r="D57" s="32"/>
    </x:row>
    <x:row r="58">
      <x:c r="A58" s="31"/>
      <x:c r="B58" t="s">
        <x:v>91</x:v>
      </x:c>
      <x:c r="C58" s="29">
        <x:v>61</x:v>
      </x:c>
      <x:c r="D58" s="32"/>
    </x:row>
    <x:row r="59">
      <x:c r="A59" s="33" t="s">
        <x:v>61</x:v>
      </x:c>
      <x:c r="B59" s="1" t="s">
        <x:v>85</x:v>
      </x:c>
      <x:c r="C59" s="27">
        <x:v>81</x:v>
      </x:c>
      <x:c r="D59" s="34" t="n">
        <x:f>SUM(C59:C61)</x:f>
        <x:v>876</x:v>
      </x:c>
    </x:row>
    <x:row r="60">
      <x:c r="A60" s="33"/>
      <x:c r="B60" s="1" t="s">
        <x:v>47</x:v>
      </x:c>
      <x:c r="C60" s="27" t="n">
        <x:f> 35 + 500</x:f>
        <x:v>535</x:v>
      </x:c>
      <x:c r="D60" s="34"/>
    </x:row>
    <x:row r="61">
      <x:c r="A61" s="33"/>
      <x:c r="B61" s="1" t="s">
        <x:v>86</x:v>
      </x:c>
      <x:c r="C61" s="27" t="n">
        <x:f> 210 + 50</x:f>
        <x:v>260</x:v>
      </x:c>
      <x:c r="D61" s="34"/>
    </x:row>
    <x:row r="62">
      <x:c r="A62" s="28" t="s">
        <x:v>63</x:v>
      </x:c>
      <x:c r="B62" s="2" t="s">
        <x:v>52</x:v>
      </x:c>
      <x:c r="C62" s="29"/>
      <x:c r="D62" s="29"/>
    </x:row>
    <x:row r="63">
      <x:c r="A63" s="33" t="s">
        <x:v>64</x:v>
      </x:c>
      <x:c r="B63" s="1" t="s">
        <x:v>62</x:v>
      </x:c>
      <x:c r="C63" s="27" t="n">
        <x:f> 56</x:f>
        <x:v>56</x:v>
      </x:c>
      <x:c r="D63" s="35" t="n">
        <x:f>SUM(C64:C65)</x:f>
        <x:v>0</x:v>
      </x:c>
    </x:row>
    <x:row r="64">
      <x:c r="A64" s="33"/>
      <x:c r="B64" s="3" t="s">
        <x:v>52</x:v>
      </x:c>
      <x:c r="C64" s="4"/>
      <x:c r="D64" s="35"/>
    </x:row>
    <x:row r="65">
      <x:c r="A65" s="28" t="s">
        <x:v>65</x:v>
      </x:c>
      <x:c r="B65" t="s">
        <x:v>52</x:v>
      </x:c>
      <x:c r="C65" s="5"/>
      <x:c r="D65" s="6"/>
    </x:row>
    <x:row r="66">
      <x:c r="A66" s="33" t="s">
        <x:v>66</x:v>
      </x:c>
      <x:c r="B66" s="3" t="s">
        <x:v>67</x:v>
      </x:c>
      <x:c r="C66" s="27"/>
      <x:c r="D66" s="34" t="n">
        <x:f>SUM(C66:C67)</x:f>
        <x:v>180</x:v>
      </x:c>
    </x:row>
    <x:row r="67">
      <x:c r="A67" s="33"/>
      <x:c r="B67" s="3" t="s">
        <x:v>88</x:v>
      </x:c>
      <x:c r="C67" s="27">
        <x:v>180</x:v>
      </x:c>
      <x:c r="D67" s="34"/>
    </x:row>
    <x:row r="68">
      <x:c r="A68" s="31" t="s">
        <x:v>68</x:v>
      </x:c>
      <x:c r="B68" t="s">
        <x:v>87</x:v>
      </x:c>
      <x:c r="C68" s="29">
        <x:v>158</x:v>
      </x:c>
      <x:c r="D68" s="32" t="n">
        <x:f>SUM(C68:C71)</x:f>
        <x:v>437.22</x:v>
      </x:c>
    </x:row>
    <x:row r="69">
      <x:c r="A69" s="31"/>
      <x:c r="B69" t="s">
        <x:v>76</x:v>
      </x:c>
      <x:c r="C69" s="29" t="n">
        <x:f> 25 + 53.72 + 25 + 8</x:f>
        <x:v>111.72</x:v>
      </x:c>
      <x:c r="D69" s="32"/>
    </x:row>
    <x:row r="70">
      <x:c r="A70" s="31"/>
      <x:c r="B70" t="s">
        <x:v>22</x:v>
      </x:c>
      <x:c r="C70" s="29" t="n">
        <x:f> 78 + 12.5</x:f>
        <x:v>90.5</x:v>
      </x:c>
      <x:c r="D70" s="32"/>
    </x:row>
    <x:row r="71">
      <x:c r="A71" s="31"/>
      <x:c r="B71" t="s">
        <x:v>83</x:v>
      </x:c>
      <x:c r="C71" s="29" t="n">
        <x:f> 66 + 11</x:f>
        <x:v>77</x:v>
      </x:c>
      <x:c r="D71" s="32"/>
    </x:row>
    <x:row r="72">
      <x:c r="D72" s="13" t="n">
        <x:f>SUM(D1:D71) - (D7)</x:f>
        <x:v>8364.77</x:v>
      </x:c>
    </x:row>
  </x:sheetData>
  <x:mergeCells>
    <x:mergeCell ref="A66:A67"/>
    <x:mergeCell ref="D66:D67"/>
    <x:mergeCell ref="A68:A71"/>
    <x:mergeCell ref="D68:D71"/>
    <x:mergeCell ref="A55:A58"/>
    <x:mergeCell ref="D55:D58"/>
    <x:mergeCell ref="A59:A61"/>
    <x:mergeCell ref="D59:D61"/>
    <x:mergeCell ref="A63:A64"/>
    <x:mergeCell ref="D63:D64"/>
    <x:mergeCell ref="A34:A41"/>
    <x:mergeCell ref="D34:D41"/>
    <x:mergeCell ref="A42:A46"/>
    <x:mergeCell ref="D42:D46"/>
    <x:mergeCell ref="A47:A54"/>
    <x:mergeCell ref="D47:D54"/>
    <x:mergeCell ref="A14:A16"/>
    <x:mergeCell ref="D14:D16"/>
    <x:mergeCell ref="A17:A25"/>
    <x:mergeCell ref="D17:D25"/>
    <x:mergeCell ref="A26:A33"/>
    <x:mergeCell ref="D26:D33"/>
    <x:mergeCell ref="A1:A6"/>
    <x:mergeCell ref="D1:D6"/>
    <x:mergeCell ref="A7:A10"/>
    <x:mergeCell ref="D7:D10"/>
    <x:mergeCell ref="A11:A13"/>
    <x:mergeCell ref="D11:D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.5"/>
  <x:cols>
    <x:col min="2" max="2" width="22.453125" customWidth="1"/>
    <x:col min="3" max="3" width="15.90625" customWidth="1"/>
  </x:cols>
  <x:sheetData>
    <x:row r="1">
      <x:c r="A1" s="33" t="s">
        <x:v>0</x:v>
      </x:c>
      <x:c r="B1" s="1" t="s">
        <x:v>1</x:v>
      </x:c>
      <x:c r="C1" s="27" t="n">
        <x:f> 28.48 + 127.07 + 11.43 + 20.07 + 25.81 + 20.52</x:f>
        <x:v>233.38</x:v>
      </x:c>
      <x:c r="D1" s="34" t="n">
        <x:f>SUM(C1:C6)</x:f>
        <x:v>796.41</x:v>
      </x:c>
    </x:row>
    <x:row r="2">
      <x:c r="A2" s="33"/>
      <x:c r="B2" s="1" t="s">
        <x:v>2</x:v>
      </x:c>
      <x:c r="C2" s="27" t="n">
        <x:f> 46.59 + 50 + 37.39 + 31.08 + 14.18 + 14.83 + 91.39 + 1.9 + 13.71 + 2.79</x:f>
        <x:v>303.86</x:v>
      </x:c>
      <x:c r="D2" s="34"/>
    </x:row>
    <x:row r="3">
      <x:c r="A3" s="33"/>
      <x:c r="B3" s="1" t="s">
        <x:v>3</x:v>
      </x:c>
      <x:c r="C3" s="27" t="n">
        <x:f> 2.25 + 5.13 + 10.96 + 12.75 + 11.45 + 1.39</x:f>
        <x:v>43.93</x:v>
      </x:c>
      <x:c r="D3" s="34"/>
    </x:row>
    <x:row r="4">
      <x:c r="A4" s="33"/>
      <x:c r="B4" s="1" t="s">
        <x:v>4</x:v>
      </x:c>
      <x:c r="C4" s="27" t="n">
        <x:f> 129.73 + 14.52 + 2.93 + 18.2 + 8.76</x:f>
        <x:v>174.14</x:v>
      </x:c>
      <x:c r="D4" s="34"/>
    </x:row>
    <x:row r="5">
      <x:c r="A5" s="33"/>
      <x:c r="B5" s="1" t="s">
        <x:v>5</x:v>
      </x:c>
      <x:c r="C5" s="27" t="n">
        <x:f> 19.5</x:f>
        <x:v>19.5</x:v>
      </x:c>
      <x:c r="D5" s="34"/>
    </x:row>
    <x:row r="6">
      <x:c r="A6" s="33"/>
      <x:c r="B6" s="1" t="s">
        <x:v>6</x:v>
      </x:c>
      <x:c r="C6" s="27">
        <x:v>21.6</x:v>
      </x:c>
      <x:c r="D6" s="34"/>
      <x:c r="H6" t="s">
        <x:v>7</x:v>
      </x:c>
      <x:c r="I6" s="9">
        <x:v>6696.4</x:v>
      </x:c>
    </x:row>
    <x:row r="7">
      <x:c r="A7" s="31" t="s">
        <x:v>8</x:v>
      </x:c>
      <x:c r="B7" s="2" t="s">
        <x:v>9</x:v>
      </x:c>
      <x:c r="C7" s="29"/>
      <x:c r="D7" s="32" t="n">
        <x:f>SUM(C7:C10)</x:f>
        <x:v>161.84</x:v>
      </x:c>
      <x:c r="H7" t="s">
        <x:v>10</x:v>
      </x:c>
      <x:c r="I7" s="5">
        <x:v>518</x:v>
      </x:c>
    </x:row>
    <x:row r="8">
      <x:c r="A8" s="31"/>
      <x:c r="B8" s="2" t="s">
        <x:v>11</x:v>
      </x:c>
      <x:c r="C8" s="29">
        <x:v>53.94</x:v>
      </x:c>
      <x:c r="D8" s="32"/>
      <x:c r="H8" t="s">
        <x:v>12</x:v>
      </x:c>
      <x:c r="I8" s="9" t="n">
        <x:f>-D73</x:f>
        <x:v>-6698.04</x:v>
      </x:c>
    </x:row>
    <x:row r="9">
      <x:c r="A9" s="31"/>
      <x:c r="B9" s="2" t="s">
        <x:v>13</x:v>
      </x:c>
      <x:c r="C9" s="29">
        <x:v>107.9</x:v>
      </x:c>
      <x:c r="D9" s="32"/>
      <x:c r="H9" s="10" t="s">
        <x:v>14</x:v>
      </x:c>
      <x:c r="I9" s="11" t="n">
        <x:f>SUM(I6:I8)</x:f>
        <x:v>516.3599999999997</x:v>
      </x:c>
    </x:row>
    <x:row r="10">
      <x:c r="A10" s="31"/>
      <x:c r="B10" s="2" t="s">
        <x:v>89</x:v>
      </x:c>
      <x:c r="C10" s="29"/>
      <x:c r="D10" s="32"/>
    </x:row>
    <x:row r="11">
      <x:c r="A11" s="33" t="s">
        <x:v>16</x:v>
      </x:c>
      <x:c r="B11" s="1" t="s">
        <x:v>17</x:v>
      </x:c>
      <x:c r="C11" s="27"/>
      <x:c r="D11" s="34" t="n">
        <x:f>SUM(C11:C13)</x:f>
        <x:v>0</x:v>
      </x:c>
    </x:row>
    <x:row r="12">
      <x:c r="A12" s="33"/>
      <x:c r="B12" s="1" t="s">
        <x:v>18</x:v>
      </x:c>
      <x:c r="C12" s="27"/>
      <x:c r="D12" s="34"/>
    </x:row>
    <x:row r="13">
      <x:c r="A13" s="33"/>
      <x:c r="B13" s="1" t="s">
        <x:v>19</x:v>
      </x:c>
      <x:c r="C13" s="27"/>
      <x:c r="D13" s="34"/>
    </x:row>
    <x:row r="14">
      <x:c r="A14" s="31" t="s">
        <x:v>20</x:v>
      </x:c>
      <x:c r="B14" s="2" t="s">
        <x:v>21</x:v>
      </x:c>
      <x:c r="C14" s="29"/>
      <x:c r="D14" s="32" t="n">
        <x:f> SUM(C14:C16)</x:f>
        <x:v>59.5</x:v>
      </x:c>
    </x:row>
    <x:row r="15">
      <x:c r="A15" s="31"/>
      <x:c r="B15" s="2" t="s">
        <x:v>22</x:v>
      </x:c>
      <x:c r="C15" s="29" t="n">
        <x:f> 59.5</x:f>
        <x:v>59.5</x:v>
      </x:c>
      <x:c r="D15" s="32"/>
    </x:row>
    <x:row r="16">
      <x:c r="A16" s="31"/>
      <x:c r="B16" t="s">
        <x:v>23</x:v>
      </x:c>
      <x:c r="C16" s="29"/>
      <x:c r="D16" s="32"/>
    </x:row>
    <x:row r="17">
      <x:c r="A17" s="33" t="s">
        <x:v>24</x:v>
      </x:c>
      <x:c r="B17" s="1" t="s">
        <x:v>25</x:v>
      </x:c>
      <x:c r="C17" s="27" t="n">
        <x:f> 51.7 + 38.44</x:f>
        <x:v>90.14</x:v>
      </x:c>
      <x:c r="D17" s="34" t="n">
        <x:f>SUM(C17:C25)</x:f>
        <x:v>440.64</x:v>
      </x:c>
    </x:row>
    <x:row r="18">
      <x:c r="A18" s="33"/>
      <x:c r="B18" s="1" t="s">
        <x:v>26</x:v>
      </x:c>
      <x:c r="C18" s="27"/>
      <x:c r="D18" s="34"/>
    </x:row>
    <x:row r="19">
      <x:c r="A19" s="33"/>
      <x:c r="B19" s="1" t="s">
        <x:v>27</x:v>
      </x:c>
      <x:c r="C19" s="27" t="n">
        <x:f> 1.5 + 1</x:f>
        <x:v>2.5</x:v>
      </x:c>
      <x:c r="D19" s="34"/>
    </x:row>
    <x:row r="20">
      <x:c r="A20" s="33"/>
      <x:c r="B20" s="1" t="s">
        <x:v>28</x:v>
      </x:c>
      <x:c r="C20" s="27"/>
      <x:c r="D20" s="34"/>
    </x:row>
    <x:row r="21">
      <x:c r="A21" s="33"/>
      <x:c r="B21" s="1" t="s">
        <x:v>29</x:v>
      </x:c>
      <x:c r="C21" s="27"/>
      <x:c r="D21" s="34"/>
    </x:row>
    <x:row r="22">
      <x:c r="A22" s="33"/>
      <x:c r="B22" s="1" t="s">
        <x:v>30</x:v>
      </x:c>
      <x:c r="C22" s="27">
        <x:v>348</x:v>
      </x:c>
      <x:c r="D22" s="34"/>
    </x:row>
    <x:row r="23">
      <x:c r="A23" s="33"/>
      <x:c r="B23" s="1" t="s">
        <x:v>31</x:v>
      </x:c>
      <x:c r="C23" s="27"/>
      <x:c r="D23" s="34"/>
    </x:row>
    <x:row r="24">
      <x:c r="A24" s="33"/>
      <x:c r="B24" s="1" t="s">
        <x:v>32</x:v>
      </x:c>
      <x:c r="C24" s="27"/>
      <x:c r="D24" s="34"/>
    </x:row>
    <x:row r="25">
      <x:c r="A25" s="33"/>
      <x:c r="B25" s="1" t="s">
        <x:v>33</x:v>
      </x:c>
      <x:c r="C25" s="27"/>
      <x:c r="D25" s="34"/>
    </x:row>
    <x:row r="26">
      <x:c r="A26" s="31" t="s">
        <x:v>34</x:v>
      </x:c>
      <x:c r="B26" s="2" t="s">
        <x:v>35</x:v>
      </x:c>
      <x:c r="C26" s="29">
        <x:v>2025</x:v>
      </x:c>
      <x:c r="D26" s="32" t="n">
        <x:f>SUM(C26:C33)</x:f>
        <x:v>2746.29</x:v>
      </x:c>
    </x:row>
    <x:row r="27">
      <x:c r="A27" s="31"/>
      <x:c r="B27" s="2" t="s">
        <x:v>36</x:v>
      </x:c>
      <x:c r="C27" s="29" t="n">
        <x:f>177+298.3</x:f>
        <x:v>475.3</x:v>
      </x:c>
      <x:c r="D27" s="32"/>
    </x:row>
    <x:row r="28">
      <x:c r="A28" s="31"/>
      <x:c r="B28" s="2" t="s">
        <x:v>26</x:v>
      </x:c>
      <x:c r="C28" s="29">
        <x:v>91</x:v>
      </x:c>
      <x:c r="D28" s="32"/>
    </x:row>
    <x:row r="29">
      <x:c r="A29" s="31"/>
      <x:c r="B29" s="2" t="s">
        <x:v>37</x:v>
      </x:c>
      <x:c r="C29" s="29"/>
      <x:c r="D29" s="32"/>
    </x:row>
    <x:row r="30">
      <x:c r="A30" s="31"/>
      <x:c r="B30" s="2" t="s">
        <x:v>38</x:v>
      </x:c>
      <x:c r="C30" s="29">
        <x:v>4.99</x:v>
      </x:c>
      <x:c r="D30" s="32"/>
    </x:row>
    <x:row r="31">
      <x:c r="A31" s="31"/>
      <x:c r="B31" s="2" t="s">
        <x:v>39</x:v>
      </x:c>
      <x:c r="C31" s="29"/>
      <x:c r="D31" s="32"/>
    </x:row>
    <x:row r="32">
      <x:c r="A32" s="31"/>
      <x:c r="B32" s="2" t="s">
        <x:v>40</x:v>
      </x:c>
      <x:c r="C32" s="29">
        <x:v>150</x:v>
      </x:c>
      <x:c r="D32" s="32"/>
    </x:row>
    <x:row r="33">
      <x:c r="A33" s="31"/>
      <x:c r="B33" s="2" t="s">
        <x:v>41</x:v>
      </x:c>
      <x:c r="C33" s="29"/>
      <x:c r="D33" s="32"/>
    </x:row>
    <x:row r="34">
      <x:c r="A34" s="33" t="s">
        <x:v>42</x:v>
      </x:c>
      <x:c r="B34" s="1" t="s">
        <x:v>43</x:v>
      </x:c>
      <x:c r="C34" s="27">
        <x:v>10.9</x:v>
      </x:c>
      <x:c r="D34" s="34" t="n">
        <x:f>SUM(C34:C41)</x:f>
        <x:v>63.86</x:v>
      </x:c>
    </x:row>
    <x:row r="35">
      <x:c r="A35" s="33"/>
      <x:c r="B35" s="1" t="s">
        <x:v>44</x:v>
      </x:c>
      <x:c r="C35" s="27">
        <x:v>22</x:v>
      </x:c>
      <x:c r="D35" s="34"/>
    </x:row>
    <x:row r="36">
      <x:c r="A36" s="33"/>
      <x:c r="B36" s="1" t="s">
        <x:v>8</x:v>
      </x:c>
      <x:c r="C36" s="27"/>
      <x:c r="D36" s="34"/>
    </x:row>
    <x:row r="37">
      <x:c r="A37" s="33"/>
      <x:c r="B37" s="1" t="s">
        <x:v>45</x:v>
      </x:c>
      <x:c r="C37" s="27"/>
      <x:c r="D37" s="34"/>
    </x:row>
    <x:row r="38">
      <x:c r="A38" s="33"/>
      <x:c r="B38" s="3" t="s">
        <x:v>46</x:v>
      </x:c>
      <x:c r="C38" s="27"/>
      <x:c r="D38" s="34"/>
    </x:row>
    <x:row r="39">
      <x:c r="A39" s="33"/>
      <x:c r="B39" s="3" t="s">
        <x:v>47</x:v>
      </x:c>
      <x:c r="C39" s="27" t="n">
        <x:f> 30.96</x:f>
        <x:v>30.96</x:v>
      </x:c>
      <x:c r="D39" s="34"/>
    </x:row>
    <x:row r="40">
      <x:c r="A40" s="33"/>
      <x:c r="B40" s="3" t="s">
        <x:v>48</x:v>
      </x:c>
      <x:c r="C40" s="27"/>
      <x:c r="D40" s="34"/>
    </x:row>
    <x:row r="41">
      <x:c r="A41" s="33"/>
      <x:c r="B41" s="3" t="s">
        <x:v>49</x:v>
      </x:c>
      <x:c r="C41" s="27"/>
      <x:c r="D41" s="34"/>
    </x:row>
    <x:row r="42">
      <x:c r="A42" s="31" t="s">
        <x:v>50</x:v>
      </x:c>
      <x:c r="B42" s="2" t="s">
        <x:v>51</x:v>
      </x:c>
      <x:c r="C42" s="29">
        <x:v>63</x:v>
      </x:c>
      <x:c r="D42" s="32" t="n">
        <x:f>SUM(C42:C46)</x:f>
        <x:v>80.5</x:v>
      </x:c>
    </x:row>
    <x:row r="43">
      <x:c r="A43" s="31"/>
      <x:c r="B43" s="2" t="s">
        <x:v>52</x:v>
      </x:c>
      <x:c r="C43" s="29"/>
      <x:c r="D43" s="32"/>
    </x:row>
    <x:row r="44">
      <x:c r="A44" s="31"/>
      <x:c r="B44" s="2" t="s">
        <x:v>8</x:v>
      </x:c>
      <x:c r="C44" s="29" t="n">
        <x:f> 2.5 + 15</x:f>
        <x:v>17.5</x:v>
      </x:c>
      <x:c r="D44" s="32"/>
    </x:row>
    <x:row r="45">
      <x:c r="A45" s="31"/>
      <x:c r="B45" s="2" t="s">
        <x:v>48</x:v>
      </x:c>
      <x:c r="C45" s="29"/>
      <x:c r="D45" s="32"/>
    </x:row>
    <x:row r="46">
      <x:c r="A46" s="31"/>
      <x:c r="B46" s="2" t="s">
        <x:v>53</x:v>
      </x:c>
      <x:c r="C46" s="29"/>
      <x:c r="D46" s="32"/>
    </x:row>
    <x:row r="47">
      <x:c r="A47" s="33" t="s">
        <x:v>54</x:v>
      </x:c>
      <x:c r="B47" s="1" t="s">
        <x:v>55</x:v>
      </x:c>
      <x:c r="C47" s="27" t="n">
        <x:f>49.5+979.56</x:f>
        <x:v>1029.06</x:v>
      </x:c>
      <x:c r="D47" s="34" t="n">
        <x:f>SUM(C47:C54)</x:f>
        <x:v>1583.1299999999999</x:v>
      </x:c>
    </x:row>
    <x:row r="48">
      <x:c r="A48" s="33"/>
      <x:c r="B48" s="1" t="s">
        <x:v>56</x:v>
      </x:c>
      <x:c r="C48" s="27">
        <x:v>18.010000000000002</x:v>
      </x:c>
      <x:c r="D48" s="34"/>
    </x:row>
    <x:row r="49">
      <x:c r="A49" s="33"/>
      <x:c r="B49" s="1" t="s">
        <x:v>31</x:v>
      </x:c>
      <x:c r="C49" s="27">
        <x:v>45</x:v>
      </x:c>
      <x:c r="D49" s="34"/>
    </x:row>
    <x:row r="50">
      <x:c r="A50" s="33"/>
      <x:c r="B50" s="1" t="s">
        <x:v>8</x:v>
      </x:c>
      <x:c r="C50" s="27" t="n">
        <x:f> 30 + 50 + 41.08 + 5</x:f>
        <x:v>126.08</x:v>
      </x:c>
      <x:c r="D50" s="34"/>
    </x:row>
    <x:row r="51">
      <x:c r="A51" s="33"/>
      <x:c r="B51" s="1" t="s">
        <x:v>45</x:v>
      </x:c>
      <x:c r="C51" s="27">
        <x:v>8.99</x:v>
      </x:c>
      <x:c r="D51" s="34"/>
    </x:row>
    <x:row r="52">
      <x:c r="A52" s="33"/>
      <x:c r="B52" s="1" t="s">
        <x:v>57</x:v>
      </x:c>
      <x:c r="C52" s="27" t="n">
        <x:f> 110 + 4 + 105</x:f>
        <x:v>219</x:v>
      </x:c>
      <x:c r="D52" s="34"/>
    </x:row>
    <x:row r="53">
      <x:c r="A53" s="33"/>
      <x:c r="B53" s="1" t="s">
        <x:v>47</x:v>
      </x:c>
      <x:c r="C53" s="27">
        <x:v>38</x:v>
      </x:c>
      <x:c r="D53" s="34"/>
    </x:row>
    <x:row r="54">
      <x:c r="A54" s="33"/>
      <x:c r="B54" s="1" t="s">
        <x:v>60</x:v>
      </x:c>
      <x:c r="C54" s="27" t="n">
        <x:f> 98.99</x:f>
        <x:v>98.99</x:v>
      </x:c>
      <x:c r="D54" s="34"/>
    </x:row>
    <x:row r="55">
      <x:c r="A55" s="31" t="s">
        <x:v>58</x:v>
      </x:c>
      <x:c r="B55" s="2" t="s">
        <x:v>59</x:v>
      </x:c>
      <x:c r="C55" s="29" t="n">
        <x:f>370</x:f>
        <x:v>370</x:v>
      </x:c>
      <x:c r="D55" s="32" t="n">
        <x:f>SUM(C55:C59)</x:f>
        <x:v>651.9100000000001</x:v>
      </x:c>
    </x:row>
    <x:row r="56">
      <x:c r="A56" s="31"/>
      <x:c r="B56" s="2" t="s">
        <x:v>8</x:v>
      </x:c>
      <x:c r="C56" s="29" t="n">
        <x:f> 23.94 + 30</x:f>
        <x:v>53.94</x:v>
      </x:c>
      <x:c r="D56" s="32"/>
    </x:row>
    <x:row r="57">
      <x:c r="A57" s="31"/>
      <x:c r="B57" s="2" t="s">
        <x:v>60</x:v>
      </x:c>
      <x:c r="C57" s="29" t="n">
        <x:f> 2.99</x:f>
        <x:v>2.99</x:v>
      </x:c>
      <x:c r="D57" s="32"/>
    </x:row>
    <x:row r="58">
      <x:c r="A58" s="31"/>
      <x:c r="B58" s="2" t="s">
        <x:v>55</x:v>
      </x:c>
      <x:c r="C58" s="29">
        <x:v>140</x:v>
      </x:c>
      <x:c r="D58" s="32"/>
    </x:row>
    <x:row r="59">
      <x:c r="A59" s="31"/>
      <x:c r="B59" t="s">
        <x:v>91</x:v>
      </x:c>
      <x:c r="C59" s="29" t="n">
        <x:f> 61 + 23.98</x:f>
        <x:v>84.98</x:v>
      </x:c>
      <x:c r="D59" s="32"/>
    </x:row>
    <x:row r="60">
      <x:c r="A60" s="33" t="s">
        <x:v>61</x:v>
      </x:c>
      <x:c r="B60" s="1" t="s">
        <x:v>85</x:v>
      </x:c>
      <x:c r="C60" s="27"/>
      <x:c r="D60" s="34" t="n">
        <x:f>SUM(C60:C62)</x:f>
        <x:v>0</x:v>
      </x:c>
    </x:row>
    <x:row r="61">
      <x:c r="A61" s="33"/>
      <x:c r="B61" s="1" t="s">
        <x:v>47</x:v>
      </x:c>
      <x:c r="C61" s="27"/>
      <x:c r="D61" s="34"/>
    </x:row>
    <x:row r="62">
      <x:c r="A62" s="33"/>
      <x:c r="B62" s="1" t="s">
        <x:v>86</x:v>
      </x:c>
      <x:c r="C62" s="27"/>
      <x:c r="D62" s="34"/>
    </x:row>
    <x:row r="63">
      <x:c r="A63" s="28" t="s">
        <x:v>63</x:v>
      </x:c>
      <x:c r="B63" s="2" t="s">
        <x:v>52</x:v>
      </x:c>
      <x:c r="C63" s="29"/>
      <x:c r="D63" s="29"/>
    </x:row>
    <x:row r="64">
      <x:c r="A64" s="33" t="s">
        <x:v>64</x:v>
      </x:c>
      <x:c r="B64" s="1" t="s">
        <x:v>62</x:v>
      </x:c>
      <x:c r="C64" s="27"/>
      <x:c r="D64" s="35" t="n">
        <x:f>SUM(C65:C66)</x:f>
        <x:v>0</x:v>
      </x:c>
    </x:row>
    <x:row r="65">
      <x:c r="A65" s="33"/>
      <x:c r="B65" s="3" t="s">
        <x:v>52</x:v>
      </x:c>
      <x:c r="C65" s="4"/>
      <x:c r="D65" s="35"/>
    </x:row>
    <x:row r="66">
      <x:c r="A66" s="28" t="s">
        <x:v>65</x:v>
      </x:c>
      <x:c r="B66" t="s">
        <x:v>52</x:v>
      </x:c>
      <x:c r="C66" s="5"/>
      <x:c r="D66" s="6"/>
    </x:row>
    <x:row r="67">
      <x:c r="A67" s="33" t="s">
        <x:v>67</x:v>
      </x:c>
      <x:c r="B67" s="3" t="s">
        <x:v>92</x:v>
      </x:c>
      <x:c r="C67" s="27" t="n">
        <x:f> 25.8</x:f>
        <x:v>25.8</x:v>
      </x:c>
      <x:c r="D67" s="34" t="n">
        <x:f>SUM(C67:C68)</x:f>
        <x:v>275.8</x:v>
      </x:c>
    </x:row>
    <x:row r="68">
      <x:c r="A68" s="33"/>
      <x:c r="B68" s="3" t="s">
        <x:v>88</x:v>
      </x:c>
      <x:c r="C68" s="27" t="n">
        <x:f> 250</x:f>
        <x:v>250</x:v>
      </x:c>
      <x:c r="D68" s="34"/>
    </x:row>
    <x:row r="69">
      <x:c r="A69" s="31" t="s">
        <x:v>68</x:v>
      </x:c>
      <x:c r="B69" t="s">
        <x:v>87</x:v>
      </x:c>
      <x:c r="C69" s="29"/>
      <x:c r="D69" s="32" t="n">
        <x:f>SUM(C69:C72)</x:f>
        <x:v>0</x:v>
      </x:c>
    </x:row>
    <x:row r="70">
      <x:c r="A70" s="31"/>
      <x:c r="B70" t="s">
        <x:v>76</x:v>
      </x:c>
      <x:c r="C70" s="29"/>
      <x:c r="D70" s="32"/>
    </x:row>
    <x:row r="71">
      <x:c r="A71" s="31"/>
      <x:c r="B71" t="s">
        <x:v>22</x:v>
      </x:c>
      <x:c r="C71" s="29"/>
      <x:c r="D71" s="32"/>
    </x:row>
    <x:row r="72">
      <x:c r="A72" s="31"/>
      <x:c r="B72" t="s">
        <x:v>83</x:v>
      </x:c>
      <x:c r="C72" s="29"/>
      <x:c r="D72" s="32"/>
    </x:row>
    <x:row r="73">
      <x:c r="D73" s="13" t="n">
        <x:f>SUM(D1:D72) - (D7)</x:f>
        <x:v>6698.04</x:v>
      </x:c>
      <x:c r="I73">
        <x:v>254</x:v>
      </x:c>
      <x:c r="J73" t="s">
        <x:v>93</x:v>
      </x:c>
    </x:row>
  </x:sheetData>
  <x:mergeCells>
    <x:mergeCell ref="A69:A72"/>
    <x:mergeCell ref="D69:D72"/>
    <x:mergeCell ref="A60:A62"/>
    <x:mergeCell ref="D60:D62"/>
    <x:mergeCell ref="A64:A65"/>
    <x:mergeCell ref="D64:D65"/>
    <x:mergeCell ref="A42:A46"/>
    <x:mergeCell ref="D42:D46"/>
    <x:mergeCell ref="A47:A54"/>
    <x:mergeCell ref="D47:D54"/>
    <x:mergeCell ref="A67:A68"/>
    <x:mergeCell ref="D67:D68"/>
    <x:mergeCell ref="A55:A59"/>
    <x:mergeCell ref="D55:D59"/>
    <x:mergeCell ref="A1:A6"/>
    <x:mergeCell ref="D1:D6"/>
    <x:mergeCell ref="A7:A10"/>
    <x:mergeCell ref="D7:D10"/>
    <x:mergeCell ref="A11:A13"/>
    <x:mergeCell ref="D11:D13"/>
    <x:mergeCell ref="A14:A16"/>
    <x:mergeCell ref="D14:D16"/>
    <x:mergeCell ref="A17:A25"/>
    <x:mergeCell ref="D17:D25"/>
    <x:mergeCell ref="A26:A33"/>
    <x:mergeCell ref="D26:D33"/>
    <x:mergeCell ref="A34:A41"/>
    <x:mergeCell ref="D34:D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1.453125" defaultRowHeight="14.5"/>
  <x:cols>
    <x:col min="2" max="2" width="14.81640625" customWidth="1"/>
    <x:col min="3" max="3" width="15.1796875" customWidth="1"/>
    <x:col min="4" max="4" width="13.81640625" customWidth="1"/>
    <x:col min="6" max="6" width="12.81640625" customWidth="1"/>
  </x:cols>
  <x:sheetData>
    <x:row r="1">
      <x:c r="B1" s="12" t="s">
        <x:v>94</x:v>
      </x:c>
      <x:c r="C1" s="12" t="s">
        <x:v>95</x:v>
      </x:c>
      <x:c r="D1" s="12" t="s">
        <x:v>96</x:v>
      </x:c>
      <x:c r="F1" s="12" t="s">
        <x:v>0</x:v>
      </x:c>
      <x:c r="G1" s="12" t="s">
        <x:v>97</x:v>
      </x:c>
      <x:c r="H1" s="12" t="s">
        <x:v>24</x:v>
      </x:c>
      <x:c r="I1" s="12" t="s">
        <x:v>34</x:v>
      </x:c>
      <x:c r="J1" s="12" t="s">
        <x:v>54</x:v>
      </x:c>
      <x:c r="K1" s="12" t="s">
        <x:v>58</x:v>
      </x:c>
      <x:c r="L1" s="12" t="s">
        <x:v>66</x:v>
      </x:c>
      <x:c r="M1" s="12" t="s">
        <x:v>68</x:v>
      </x:c>
    </x:row>
    <x:row r="2">
      <x:c r="A2" t="s">
        <x:v>98</x:v>
      </x:c>
      <x:c r="B2" s="29" t="n">
        <x:f>7249.23+510</x:f>
        <x:v>7759.23</x:v>
      </x:c>
      <x:c r="C2" s="29">
        <x:v>7041</x:v>
      </x:c>
      <x:c r="D2" s="5" t="n">
        <x:f>B2-C2</x:f>
        <x:v>718.2299999999996</x:v>
      </x:c>
      <x:c r="F2" s="29">
        <x:v>966</x:v>
      </x:c>
      <x:c r="G2" s="29">
        <x:v>113</x:v>
      </x:c>
      <x:c r="H2" s="29">
        <x:v>757</x:v>
      </x:c>
      <x:c r="I2" s="29">
        <x:v>3009</x:v>
      </x:c>
      <x:c r="J2" s="29">
        <x:v>981</x:v>
      </x:c>
      <x:c r="K2" s="29">
        <x:v>442</x:v>
      </x:c>
      <x:c r="L2" s="29">
        <x:v>325</x:v>
      </x:c>
      <x:c r="M2" s="29">
        <x:v>0</x:v>
      </x:c>
    </x:row>
    <x:row r="3">
      <x:c r="A3" t="s">
        <x:v>99</x:v>
      </x:c>
      <x:c r="B3" s="29" t="n">
        <x:f>9335.19+510</x:f>
        <x:v>9845.19</x:v>
      </x:c>
      <x:c r="C3" s="29">
        <x:v>6104</x:v>
      </x:c>
      <x:c r="D3" s="5" t="n">
        <x:f t="shared" ref="D3:D8" si="0">B3-C3</x:f>
        <x:v>3741.1900000000005</x:v>
      </x:c>
      <x:c r="F3" s="29">
        <x:v>797</x:v>
      </x:c>
      <x:c r="G3" s="29">
        <x:v>135</x:v>
      </x:c>
      <x:c r="H3" s="29">
        <x:v>1095</x:v>
      </x:c>
      <x:c r="I3" s="29">
        <x:v>2748</x:v>
      </x:c>
      <x:c r="J3" s="29">
        <x:v>28</x:v>
      </x:c>
      <x:c r="K3" s="29">
        <x:v>424</x:v>
      </x:c>
      <x:c r="L3" s="29">
        <x:v>137</x:v>
      </x:c>
      <x:c r="M3" s="29">
        <x:v>0</x:v>
      </x:c>
    </x:row>
    <x:row r="4">
      <x:c r="A4" t="s">
        <x:v>100</x:v>
      </x:c>
      <x:c r="B4" s="29" t="n">
        <x:f>8395.54+510</x:f>
        <x:v>8905.54</x:v>
      </x:c>
      <x:c r="C4" s="29">
        <x:v>8874</x:v>
      </x:c>
      <x:c r="D4" s="5">
        <x:f t="shared" si="0"/>
        <x:v>31.540000000000873</x:v>
      </x:c>
      <x:c r="F4" s="29">
        <x:v>1033</x:v>
      </x:c>
      <x:c r="G4" s="29">
        <x:v>243</x:v>
      </x:c>
      <x:c r="H4" s="29">
        <x:v>536</x:v>
      </x:c>
      <x:c r="I4" s="29">
        <x:v>2795</x:v>
      </x:c>
      <x:c r="J4" s="29">
        <x:v>708</x:v>
      </x:c>
      <x:c r="K4" s="29">
        <x:v>374</x:v>
      </x:c>
      <x:c r="L4" s="29">
        <x:v>217</x:v>
      </x:c>
      <x:c r="M4" s="29">
        <x:v>1090</x:v>
      </x:c>
    </x:row>
    <x:row r="5">
      <x:c r="A5" t="s">
        <x:v>101</x:v>
      </x:c>
      <x:c r="B5" s="29" t="n">
        <x:f>8455.36+510</x:f>
        <x:v>8965.36</x:v>
      </x:c>
      <x:c r="C5" s="29">
        <x:v>8253</x:v>
      </x:c>
      <x:c r="D5" s="5">
        <x:f t="shared" si="0"/>
        <x:v>712.36000000000058</x:v>
      </x:c>
      <x:c r="F5" s="29">
        <x:v>727</x:v>
      </x:c>
      <x:c r="G5" s="29">
        <x:v>371</x:v>
      </x:c>
      <x:c r="H5" s="29">
        <x:v>1106</x:v>
      </x:c>
      <x:c r="I5" s="29">
        <x:v>2765</x:v>
      </x:c>
      <x:c r="J5" s="29">
        <x:v>1830</x:v>
      </x:c>
      <x:c r="K5" s="29">
        <x:v>392</x:v>
      </x:c>
      <x:c r="L5" s="29">
        <x:v>0</x:v>
      </x:c>
      <x:c r="M5" s="29">
        <x:v>699</x:v>
      </x:c>
    </x:row>
    <x:row r="6">
      <x:c r="A6" t="s">
        <x:v>102</x:v>
      </x:c>
      <x:c r="B6" s="29" t="n">
        <x:f>9141.48+510</x:f>
        <x:v>9651.48</x:v>
      </x:c>
      <x:c r="C6" s="29">
        <x:v>7514</x:v>
      </x:c>
      <x:c r="D6" s="5">
        <x:f t="shared" si="0"/>
        <x:v>2137.4799999999996</x:v>
      </x:c>
      <x:c r="F6" s="29">
        <x:v>572</x:v>
      </x:c>
      <x:c r="G6" s="29">
        <x:v>74</x:v>
      </x:c>
      <x:c r="H6" s="29">
        <x:v>446</x:v>
      </x:c>
      <x:c r="I6" s="29">
        <x:v>2639</x:v>
      </x:c>
      <x:c r="J6" s="29">
        <x:v>1255</x:v>
      </x:c>
      <x:c r="K6" s="29">
        <x:v>423</x:v>
      </x:c>
      <x:c r="L6" s="29">
        <x:v>0</x:v>
      </x:c>
      <x:c r="M6" s="29">
        <x:v>1584</x:v>
      </x:c>
    </x:row>
    <x:row r="7">
      <x:c r="A7" t="s">
        <x:v>103</x:v>
      </x:c>
      <x:c r="B7" s="29">
        <x:v>7611.54</x:v>
      </x:c>
      <x:c r="C7" s="29">
        <x:v>7585</x:v>
      </x:c>
      <x:c r="D7" s="5">
        <x:f t="shared" si="0"/>
        <x:v>26.539999999999964</x:v>
      </x:c>
      <x:c r="F7" s="29">
        <x:v>919</x:v>
      </x:c>
      <x:c r="G7" s="29">
        <x:v>202</x:v>
      </x:c>
      <x:c r="H7" s="29">
        <x:v>604</x:v>
      </x:c>
      <x:c r="I7" s="29">
        <x:v>2954</x:v>
      </x:c>
      <x:c r="J7" s="29">
        <x:v>1197</x:v>
      </x:c>
      <x:c r="K7" s="29">
        <x:v>474</x:v>
      </x:c>
      <x:c r="L7" s="29">
        <x:v>100</x:v>
      </x:c>
      <x:c r="M7" s="29">
        <x:v>990</x:v>
      </x:c>
    </x:row>
    <x:row r="8">
      <x:c r="A8" t="s">
        <x:v>104</x:v>
      </x:c>
      <x:c r="B8" s="29" t="n">
        <x:f>7080.78+510</x:f>
        <x:v>7590.78</x:v>
      </x:c>
      <x:c r="C8" s="29">
        <x:v>7857</x:v>
      </x:c>
      <x:c r="D8" s="5">
        <x:f t="shared" si="0"/>
        <x:v>-266.22000000000025</x:v>
      </x:c>
      <x:c r="F8" s="29">
        <x:v>1009</x:v>
      </x:c>
      <x:c r="G8" s="29">
        <x:v>165</x:v>
      </x:c>
      <x:c r="H8" s="29">
        <x:v>626</x:v>
      </x:c>
      <x:c r="I8" s="29">
        <x:v>3639</x:v>
      </x:c>
      <x:c r="J8" s="29">
        <x:v>1346</x:v>
      </x:c>
      <x:c r="K8" s="29">
        <x:v>430</x:v>
      </x:c>
      <x:c r="L8" s="29">
        <x:v>0</x:v>
      </x:c>
      <x:c r="M8" s="29">
        <x:v>0</x:v>
      </x:c>
    </x:row>
    <x:row r="10">
      <x:c r="A10" s="14" t="s">
        <x:v>105</x:v>
      </x:c>
      <x:c r="B10" s="29" t="n">
        <x:f>B11/7</x:f>
        <x:v>8618.445714285715</x:v>
      </x:c>
      <x:c r="C10" s="29" t="n">
        <x:f>C11/7</x:f>
        <x:v>7604</x:v>
      </x:c>
      <x:c r="D10" s="29" t="n">
        <x:f>D11/7</x:f>
        <x:v>1014.4457142857144</x:v>
      </x:c>
      <x:c r="F10" s="29" t="n">
        <x:f t="shared" ref="F10:M10" si="1">F11/7</x:f>
        <x:v>860.4285714285714</x:v>
      </x:c>
      <x:c r="G10" s="29">
        <x:f t="shared" si="1"/>
        <x:v>186.14285714285714</x:v>
      </x:c>
      <x:c r="H10" s="29">
        <x:f t="shared" si="1"/>
        <x:v>738.57142857142856</x:v>
      </x:c>
      <x:c r="I10" s="29">
        <x:f t="shared" si="1"/>
        <x:v>2935.5714285714284</x:v>
      </x:c>
      <x:c r="J10" s="29">
        <x:f t="shared" si="1"/>
        <x:v>1049.2857142857142</x:v>
      </x:c>
      <x:c r="K10" s="29">
        <x:f t="shared" si="1"/>
        <x:v>422.71428571428572</x:v>
      </x:c>
      <x:c r="L10" s="29">
        <x:f t="shared" si="1"/>
        <x:v>111.28571428571429</x:v>
      </x:c>
      <x:c r="M10" s="29">
        <x:f t="shared" si="1"/>
        <x:v>623.28571428571433</x:v>
      </x:c>
    </x:row>
    <x:row r="11">
      <x:c r="A11" s="15" t="s">
        <x:v>72</x:v>
      </x:c>
      <x:c r="B11" s="29" t="n">
        <x:f>SUM(B2:B8)</x:f>
        <x:v>60329.12</x:v>
      </x:c>
      <x:c r="C11" s="13" t="n">
        <x:f>SUM(C2:C8)</x:f>
        <x:v>53228</x:v>
      </x:c>
      <x:c r="D11" s="13" t="n">
        <x:f>SUM(D2:D8)</x:f>
        <x:v>7101.120000000001</x:v>
      </x:c>
      <x:c r="F11" s="29" t="n">
        <x:f t="shared" ref="F11:M11" si="2">SUM(F2:F8)</x:f>
        <x:v>6023</x:v>
      </x:c>
      <x:c r="G11" s="29">
        <x:f t="shared" si="2"/>
        <x:v>1303</x:v>
      </x:c>
      <x:c r="H11" s="29">
        <x:f t="shared" si="2"/>
        <x:v>5170</x:v>
      </x:c>
      <x:c r="I11" s="29">
        <x:f t="shared" si="2"/>
        <x:v>20549</x:v>
      </x:c>
      <x:c r="J11" s="29">
        <x:f t="shared" si="2"/>
        <x:v>7345</x:v>
      </x:c>
      <x:c r="K11" s="29">
        <x:f t="shared" si="2"/>
        <x:v>2959</x:v>
      </x:c>
      <x:c r="L11" s="29">
        <x:f t="shared" si="2"/>
        <x:v>779</x:v>
      </x:c>
      <x:c r="M11" s="29">
        <x:f t="shared" si="2"/>
        <x:v>4363</x:v>
      </x:c>
    </x:row>
  </x:sheetData>
  <x:pageMargins left="0.7" right="0.7" top="0.75" bottom="0.75" header="0.3" footer="0.3"/>
  <x:drawing xmlns:r="http://schemas.openxmlformats.org/officeDocument/2006/relationships" r:id="R6d2f159fefe34e2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43" t="str">
        <x:v>Privates Monatsbudget 2026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>
      <x:c r="A2" s="42" t="str">
        <x:v>Budget, Einnahmen, Ausgaben und Kategorien. Gelbe Felder kannst du monatlich selbst anpassen.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</x:row>
    <x:row r="4">
      <x:c r="A4" s="45" t="str">
        <x:v>Monat</x:v>
      </x:c>
      <x:c r="B4" s="45" t="str">
        <x:v>Budget</x:v>
      </x:c>
      <x:c r="C4" s="45" t="str">
        <x:v>Einnahmen</x:v>
      </x:c>
      <x:c r="D4" s="45" t="str">
        <x:v>Ausgaben</x:v>
      </x:c>
      <x:c r="E4" s="45" t="str">
        <x:v>Saldo</x:v>
      </x:c>
      <x:c r="F4" s="45" t="str">
        <x:v>Budget übrig</x:v>
      </x:c>
      <x:c r="G4" s="45" t="str">
        <x:v>Notiz</x:v>
      </x:c>
      <x:c r="H4" s="45" t="str">
        <x:v>Lebensmittel</x:v>
      </x:c>
      <x:c r="I4" s="45" t="str">
        <x:v>Kleidung</x:v>
      </x:c>
      <x:c r="J4" s="45" t="str">
        <x:v>Online</x:v>
      </x:c>
      <x:c r="K4" s="45" t="str">
        <x:v>Restaurant</x:v>
      </x:c>
      <x:c r="L4" s="45" t="str">
        <x:v>Auto</x:v>
      </x:c>
      <x:c r="M4" s="45" t="str">
        <x:v>Zu Hause</x:v>
      </x:c>
      <x:c r="N4" s="45" t="str">
        <x:v>Jamin</x:v>
      </x:c>
      <x:c r="O4" s="45" t="str">
        <x:v>Fatima</x:v>
      </x:c>
      <x:c r="P4" s="45" t="str">
        <x:v>Mobin</x:v>
      </x:c>
      <x:c r="Q4" s="45" t="str">
        <x:v>Mobina</x:v>
      </x:c>
      <x:c r="R4" s="45" t="str">
        <x:v>Meine Eltern</x:v>
      </x:c>
      <x:c r="S4" s="45" t="str">
        <x:v>Moschee</x:v>
      </x:c>
      <x:c r="T4" s="45" t="str">
        <x:v>Ausflug</x:v>
      </x:c>
    </x:row>
    <x:row r="5">
      <x:c r="A5" s="55" t="str">
        <x:v>Januar</x:v>
      </x:c>
      <x:c r="B5" s="52" t="str"/>
      <x:c r="C5" s="53" t="n">
        <x:f>SUM('Januar 2026'!I6:I7)</x:f>
        <x:v>8718.92</x:v>
      </x:c>
      <x:c r="D5" s="53" t="n">
        <x:f>-'Januar 2026'!I8</x:f>
        <x:v>8431.380000000001</x:v>
      </x:c>
      <x:c r="E5" s="53" t="n">
        <x:f>C5-D5</x:f>
        <x:v>287.53999999999905</x:v>
      </x:c>
      <x:c r="F5" s="53" t="n">
        <x:f>B5-D5</x:f>
        <x:v>-8431.380000000001</x:v>
      </x:c>
      <x:c r="G5" s="51" t="str"/>
      <x:c r="H5" s="53" t="n">
        <x:v>752.63</x:v>
      </x:c>
      <x:c r="I5" s="53" t="n">
        <x:v>85.33</x:v>
      </x:c>
      <x:c r="J5" s="53" t="n">
        <x:v>0</x:v>
      </x:c>
      <x:c r="K5" s="53" t="n">
        <x:v>170.8</x:v>
      </x:c>
      <x:c r="L5" s="53" t="n">
        <x:v>462.31</x:v>
      </x:c>
      <x:c r="M5" s="53" t="n">
        <x:v>2737.28</x:v>
      </x:c>
      <x:c r="N5" s="53" t="n">
        <x:v>185.84</x:v>
      </x:c>
      <x:c r="O5" s="53" t="n">
        <x:v>380.81</x:v>
      </x:c>
      <x:c r="P5" s="53" t="n">
        <x:v>1733.4899999999998</x:v>
      </x:c>
      <x:c r="Q5" s="53" t="n">
        <x:v>537.54</x:v>
      </x:c>
      <x:c r="R5" s="53" t="n">
        <x:v>0</x:v>
      </x:c>
      <x:c r="S5" s="53" t="n">
        <x:v>70.68</x:v>
      </x:c>
      <x:c r="T5" s="53" t="n">
        <x:v>1400</x:v>
      </x:c>
    </x:row>
    <x:row r="6">
      <x:c r="A6" s="55" t="str">
        <x:v>Februar</x:v>
      </x:c>
      <x:c r="B6" s="52" t="str"/>
      <x:c r="C6" s="53" t="n">
        <x:f>SUM('Februar 2026'!I6:I7)</x:f>
        <x:v>7885.33</x:v>
      </x:c>
      <x:c r="D6" s="53" t="n">
        <x:f>-'Februar 2026'!I8</x:f>
        <x:v>10840.530000000002</x:v>
      </x:c>
      <x:c r="E6" s="53" t="n">
        <x:f>C6-D6</x:f>
        <x:v>-2955.2000000000025</x:v>
      </x:c>
      <x:c r="F6" s="53" t="n">
        <x:f>B6-D6</x:f>
        <x:v>-10840.530000000002</x:v>
      </x:c>
      <x:c r="G6" s="51" t="str"/>
      <x:c r="H6" s="53" t="n">
        <x:v>1025.12</x:v>
      </x:c>
      <x:c r="I6" s="53" t="n">
        <x:v>36.96</x:v>
      </x:c>
      <x:c r="J6" s="53" t="n">
        <x:v>110.02</x:v>
      </x:c>
      <x:c r="K6" s="53" t="n">
        <x:v>76</x:v>
      </x:c>
      <x:c r="L6" s="53" t="n">
        <x:v>498</x:v>
      </x:c>
      <x:c r="M6" s="53" t="n">
        <x:v>4997.18</x:v>
      </x:c>
      <x:c r="N6" s="53" t="n">
        <x:v>42.89</x:v>
      </x:c>
      <x:c r="O6" s="53" t="n">
        <x:v>329.83</x:v>
      </x:c>
      <x:c r="P6" s="53" t="n">
        <x:v>1156.1499999999999</x:v>
      </x:c>
      <x:c r="Q6" s="53" t="n">
        <x:v>454.85</x:v>
      </x:c>
      <x:c r="R6" s="53" t="n">
        <x:v>1399.15</x:v>
      </x:c>
      <x:c r="S6" s="53" t="n">
        <x:v>314</x:v>
      </x:c>
      <x:c r="T6" s="53" t="n">
        <x:v>437.34</x:v>
      </x:c>
    </x:row>
    <x:row r="7">
      <x:c r="A7" s="55" t="str">
        <x:v>März</x:v>
      </x:c>
      <x:c r="B7" s="52" t="str"/>
      <x:c r="C7" s="53" t="n">
        <x:f>SUM('März'!I6:I7)</x:f>
        <x:v>7472.36</x:v>
      </x:c>
      <x:c r="D7" s="53" t="n">
        <x:f>-'März'!I8</x:f>
        <x:v>7581.679999999999</x:v>
      </x:c>
      <x:c r="E7" s="53" t="n">
        <x:f>C7-D7</x:f>
        <x:v>-109.31999999999971</x:v>
      </x:c>
      <x:c r="F7" s="53" t="n">
        <x:f>B7-D7</x:f>
        <x:v>-7581.679999999999</x:v>
      </x:c>
      <x:c r="G7" s="51" t="str"/>
      <x:c r="H7" s="53" t="n">
        <x:v>1074.78</x:v>
      </x:c>
      <x:c r="I7" s="53" t="n">
        <x:v>80.94</x:v>
      </x:c>
      <x:c r="J7" s="53" t="n">
        <x:v>0</x:v>
      </x:c>
      <x:c r="K7" s="53" t="n">
        <x:v>137</x:v>
      </x:c>
      <x:c r="L7" s="53" t="n">
        <x:v>641.28</x:v>
      </x:c>
      <x:c r="M7" s="53" t="n">
        <x:v>2862.4</x:v>
      </x:c>
      <x:c r="N7" s="53" t="n">
        <x:v>161.88000000000002</x:v>
      </x:c>
      <x:c r="O7" s="53" t="n">
        <x:v>73</x:v>
      </x:c>
      <x:c r="P7" s="53" t="n">
        <x:v>1129.02</x:v>
      </x:c>
      <x:c r="Q7" s="53" t="n">
        <x:v>528</x:v>
      </x:c>
      <x:c r="R7" s="53" t="n">
        <x:v>620.23</x:v>
      </x:c>
      <x:c r="S7" s="53" t="n">
        <x:v>354.09000000000003</x:v>
      </x:c>
      <x:c r="T7" s="53" t="n">
        <x:v>0</x:v>
      </x:c>
    </x:row>
    <x:row r="8">
      <x:c r="A8" s="55" t="str">
        <x:v>April</x:v>
      </x:c>
      <x:c r="B8" s="52" t="str"/>
      <x:c r="C8" s="53" t="n">
        <x:f>SUM('April'!I6:I7)</x:f>
        <x:v>7119.56</x:v>
      </x:c>
      <x:c r="D8" s="53" t="n">
        <x:f>-'April'!I8</x:f>
        <x:v>7797.359999999999</x:v>
      </x:c>
      <x:c r="E8" s="53" t="n">
        <x:f>C8-D8</x:f>
        <x:v>-677.7999999999984</x:v>
      </x:c>
      <x:c r="F8" s="53" t="n">
        <x:f>B8-D8</x:f>
        <x:v>-7797.359999999999</x:v>
      </x:c>
      <x:c r="G8" s="51" t="str"/>
      <x:c r="H8" s="53" t="n">
        <x:v>1011.6999999999998</x:v>
      </x:c>
      <x:c r="I8" s="53" t="n">
        <x:v>5</x:v>
      </x:c>
      <x:c r="J8" s="53" t="n">
        <x:v>0</x:v>
      </x:c>
      <x:c r="K8" s="53" t="n">
        <x:v>211.7</x:v>
      </x:c>
      <x:c r="L8" s="53" t="n">
        <x:v>1883.56</x:v>
      </x:c>
      <x:c r="M8" s="53" t="n">
        <x:v>2685.8700000000003</x:v>
      </x:c>
      <x:c r="N8" s="53" t="n">
        <x:v>42.9</x:v>
      </x:c>
      <x:c r="O8" s="53" t="n">
        <x:v>353.99</x:v>
      </x:c>
      <x:c r="P8" s="53" t="n">
        <x:v>1101.06</x:v>
      </x:c>
      <x:c r="Q8" s="53" t="n">
        <x:v>380</x:v>
      </x:c>
      <x:c r="R8" s="53" t="n">
        <x:v>49.580000000000005</x:v>
      </x:c>
      <x:c r="S8" s="53" t="n">
        <x:v>77</x:v>
      </x:c>
      <x:c r="T8" s="53" t="n">
        <x:v>0</x:v>
      </x:c>
    </x:row>
    <x:row r="9">
      <x:c r="A9" s="55" t="str">
        <x:v>Mai</x:v>
      </x:c>
      <x:c r="B9" s="52" t="str"/>
      <x:c r="C9" s="53" t="n">
        <x:f>SUM('Mai'!I6:I7)</x:f>
        <x:v>7454.48</x:v>
      </x:c>
      <x:c r="D9" s="53" t="n">
        <x:f>-'Mai'!I8</x:f>
        <x:v>8364.77</x:v>
      </x:c>
      <x:c r="E9" s="53" t="n">
        <x:f>C9-D9</x:f>
        <x:v>-910.2900000000009</x:v>
      </x:c>
      <x:c r="F9" s="53" t="n">
        <x:f>B9-D9</x:f>
        <x:v>-8364.77</x:v>
      </x:c>
      <x:c r="G9" s="51" t="str"/>
      <x:c r="H9" s="53" t="n">
        <x:v>774.36</x:v>
      </x:c>
      <x:c r="I9" s="53" t="n">
        <x:v>126</x:v>
      </x:c>
      <x:c r="J9" s="53" t="n">
        <x:v>0</x:v>
      </x:c>
      <x:c r="K9" s="53" t="n">
        <x:v>160</x:v>
      </x:c>
      <x:c r="L9" s="53" t="n">
        <x:v>584.16</x:v>
      </x:c>
      <x:c r="M9" s="53" t="n">
        <x:v>2610.29</x:v>
      </x:c>
      <x:c r="N9" s="53" t="n">
        <x:v>221.3</x:v>
      </x:c>
      <x:c r="O9" s="53" t="n">
        <x:v>732.43</x:v>
      </x:c>
      <x:c r="P9" s="53" t="n">
        <x:v>1281.01</x:v>
      </x:c>
      <x:c r="Q9" s="53" t="n">
        <x:v>508</x:v>
      </x:c>
      <x:c r="R9" s="53" t="n">
        <x:v>876</x:v>
      </x:c>
      <x:c r="S9" s="53" t="n">
        <x:v>180</x:v>
      </x:c>
      <x:c r="T9" s="53" t="n">
        <x:v>437.22</x:v>
      </x:c>
    </x:row>
    <x:row r="10">
      <x:c r="A10" s="55" t="str">
        <x:v>Juni</x:v>
      </x:c>
      <x:c r="B10" s="52" t="str"/>
      <x:c r="C10" s="53" t="n">
        <x:f>SUM('Juni'!I6:I7)</x:f>
        <x:v>7214.4</x:v>
      </x:c>
      <x:c r="D10" s="53" t="n">
        <x:f>-'Juni'!I8</x:f>
        <x:v>6698.04</x:v>
      </x:c>
      <x:c r="E10" s="53" t="n">
        <x:f>C10-D10</x:f>
        <x:v>516.3599999999997</x:v>
      </x:c>
      <x:c r="F10" s="53" t="n">
        <x:f>B10-D10</x:f>
        <x:v>-6698.04</x:v>
      </x:c>
      <x:c r="G10" s="51" t="str"/>
      <x:c r="H10" s="53" t="n">
        <x:v>796.41</x:v>
      </x:c>
      <x:c r="I10" s="53" t="n">
        <x:v>161.84</x:v>
      </x:c>
      <x:c r="J10" s="53" t="n">
        <x:v>0</x:v>
      </x:c>
      <x:c r="K10" s="53" t="n">
        <x:v>59.5</x:v>
      </x:c>
      <x:c r="L10" s="53" t="n">
        <x:v>440.64</x:v>
      </x:c>
      <x:c r="M10" s="53" t="n">
        <x:v>2746.29</x:v>
      </x:c>
      <x:c r="N10" s="53" t="n">
        <x:v>63.86</x:v>
      </x:c>
      <x:c r="O10" s="53" t="n">
        <x:v>80.5</x:v>
      </x:c>
      <x:c r="P10" s="53" t="n">
        <x:v>1583.1299999999999</x:v>
      </x:c>
      <x:c r="Q10" s="53" t="n">
        <x:v>651.9100000000001</x:v>
      </x:c>
      <x:c r="R10" s="53" t="n">
        <x:v>0</x:v>
      </x:c>
      <x:c r="S10" s="53" t="str"/>
      <x:c r="T10" s="53" t="n">
        <x:v>0</x:v>
      </x:c>
    </x:row>
    <x:row r="11">
      <x:c r="A11" s="55" t="str">
        <x:v>Juli</x:v>
      </x:c>
      <x:c r="B11" s="52" t="str"/>
      <x:c r="C11" s="53" t="str"/>
      <x:c r="D11" s="53" t="str"/>
      <x:c r="E11" s="53" t="n">
        <x:f>C11-D11</x:f>
        <x:v>0</x:v>
      </x:c>
      <x:c r="F11" s="53" t="n">
        <x:f>B11-D11</x:f>
        <x:v>0</x:v>
      </x:c>
      <x:c r="G11" s="51" t="str"/>
      <x:c r="H11" s="53" t="str"/>
      <x:c r="I11" s="53" t="str"/>
      <x:c r="J11" s="53" t="str"/>
      <x:c r="K11" s="53" t="str"/>
      <x:c r="L11" s="53" t="str"/>
      <x:c r="M11" s="53" t="str"/>
      <x:c r="N11" s="53" t="str"/>
      <x:c r="O11" s="53" t="str"/>
      <x:c r="P11" s="53" t="str"/>
      <x:c r="Q11" s="53" t="str"/>
      <x:c r="R11" s="53" t="str"/>
      <x:c r="S11" s="53" t="str"/>
      <x:c r="T11" s="53" t="str"/>
    </x:row>
    <x:row r="12">
      <x:c r="A12" s="55" t="str">
        <x:v>August</x:v>
      </x:c>
      <x:c r="B12" s="52" t="str"/>
      <x:c r="C12" s="53" t="str"/>
      <x:c r="D12" s="53" t="str"/>
      <x:c r="E12" s="53" t="n">
        <x:f>C12-D12</x:f>
        <x:v>0</x:v>
      </x:c>
      <x:c r="F12" s="53" t="n">
        <x:f>B12-D12</x:f>
        <x:v>0</x:v>
      </x:c>
      <x:c r="G12" s="51" t="str"/>
      <x:c r="H12" s="53" t="str"/>
      <x:c r="I12" s="53" t="str"/>
      <x:c r="J12" s="53" t="str"/>
      <x:c r="K12" s="53" t="str"/>
      <x:c r="L12" s="53" t="str"/>
      <x:c r="M12" s="53" t="str"/>
      <x:c r="N12" s="53" t="str"/>
      <x:c r="O12" s="53" t="str"/>
      <x:c r="P12" s="53" t="str"/>
      <x:c r="Q12" s="53" t="str"/>
      <x:c r="R12" s="53" t="str"/>
      <x:c r="S12" s="53" t="str"/>
      <x:c r="T12" s="53" t="str"/>
    </x:row>
    <x:row r="13">
      <x:c r="A13" s="55" t="str">
        <x:v>September</x:v>
      </x:c>
      <x:c r="B13" s="52" t="str"/>
      <x:c r="C13" s="53" t="str"/>
      <x:c r="D13" s="53" t="str"/>
      <x:c r="E13" s="53" t="n">
        <x:f>C13-D13</x:f>
        <x:v>0</x:v>
      </x:c>
      <x:c r="F13" s="53" t="n">
        <x:f>B13-D13</x:f>
        <x:v>0</x:v>
      </x:c>
      <x:c r="G13" s="51" t="str"/>
      <x:c r="H13" s="53" t="str"/>
      <x:c r="I13" s="53" t="str"/>
      <x:c r="J13" s="53" t="str"/>
      <x:c r="K13" s="53" t="str"/>
      <x:c r="L13" s="53" t="str"/>
      <x:c r="M13" s="53" t="str"/>
      <x:c r="N13" s="53" t="str"/>
      <x:c r="O13" s="53" t="str"/>
      <x:c r="P13" s="53" t="str"/>
      <x:c r="Q13" s="53" t="str"/>
      <x:c r="R13" s="53" t="str"/>
      <x:c r="S13" s="53" t="str"/>
      <x:c r="T13" s="53" t="str"/>
    </x:row>
    <x:row r="14">
      <x:c r="A14" s="55" t="str">
        <x:v>Oktober</x:v>
      </x:c>
      <x:c r="B14" s="52" t="str"/>
      <x:c r="C14" s="53" t="str"/>
      <x:c r="D14" s="53" t="str"/>
      <x:c r="E14" s="53" t="n">
        <x:f>C14-D14</x:f>
        <x:v>0</x:v>
      </x:c>
      <x:c r="F14" s="53" t="n">
        <x:f>B14-D14</x:f>
        <x:v>0</x:v>
      </x:c>
      <x:c r="G14" s="51" t="str"/>
      <x:c r="H14" s="53" t="str"/>
      <x:c r="I14" s="53" t="str"/>
      <x:c r="J14" s="53" t="str"/>
      <x:c r="K14" s="53" t="str"/>
      <x:c r="L14" s="53" t="str"/>
      <x:c r="M14" s="53" t="str"/>
      <x:c r="N14" s="53" t="str"/>
      <x:c r="O14" s="53" t="str"/>
      <x:c r="P14" s="53" t="str"/>
      <x:c r="Q14" s="53" t="str"/>
      <x:c r="R14" s="53" t="str"/>
      <x:c r="S14" s="53" t="str"/>
      <x:c r="T14" s="53" t="str"/>
    </x:row>
    <x:row r="15">
      <x:c r="A15" s="55" t="str">
        <x:v>November</x:v>
      </x:c>
      <x:c r="B15" s="52" t="str"/>
      <x:c r="C15" s="53" t="str"/>
      <x:c r="D15" s="53" t="str"/>
      <x:c r="E15" s="53" t="n">
        <x:f>C15-D15</x:f>
        <x:v>0</x:v>
      </x:c>
      <x:c r="F15" s="53" t="n">
        <x:f>B15-D15</x:f>
        <x:v>0</x:v>
      </x:c>
      <x:c r="G15" s="51" t="str"/>
      <x:c r="H15" s="53" t="str"/>
      <x:c r="I15" s="53" t="str"/>
      <x:c r="J15" s="53" t="str"/>
      <x:c r="K15" s="53" t="str"/>
      <x:c r="L15" s="53" t="str"/>
      <x:c r="M15" s="53" t="str"/>
      <x:c r="N15" s="53" t="str"/>
      <x:c r="O15" s="53" t="str"/>
      <x:c r="P15" s="53" t="str"/>
      <x:c r="Q15" s="53" t="str"/>
      <x:c r="R15" s="53" t="str"/>
      <x:c r="S15" s="53" t="str"/>
      <x:c r="T15" s="53" t="str"/>
    </x:row>
    <x:row r="16">
      <x:c r="A16" s="55" t="str">
        <x:v>Dezember</x:v>
      </x:c>
      <x:c r="B16" s="52" t="str"/>
      <x:c r="C16" s="53" t="str"/>
      <x:c r="D16" s="53" t="str"/>
      <x:c r="E16" s="53" t="n">
        <x:f>C16-D16</x:f>
        <x:v>0</x:v>
      </x:c>
      <x:c r="F16" s="53" t="n">
        <x:f>B16-D16</x:f>
        <x:v>0</x:v>
      </x:c>
      <x:c r="G16" s="51" t="str"/>
      <x:c r="H16" s="53" t="str"/>
      <x:c r="I16" s="53" t="str"/>
      <x:c r="J16" s="53" t="str"/>
      <x:c r="K16" s="53" t="str"/>
      <x:c r="L16" s="53" t="str"/>
      <x:c r="M16" s="53" t="str"/>
      <x:c r="N16" s="53" t="str"/>
      <x:c r="O16" s="53" t="str"/>
      <x:c r="P16" s="53" t="str"/>
      <x:c r="Q16" s="53" t="str"/>
      <x:c r="R16" s="53" t="str"/>
      <x:c r="S16" s="53" t="str"/>
      <x:c r="T16" s="53" t="str"/>
    </x:row>
    <x:row r="17">
      <x:c r="A17" s="47" t="str">
        <x:v>Summe</x:v>
      </x:c>
      <x:c r="B17" s="54" t="n">
        <x:f>SUM(B5:B16)</x:f>
        <x:v>0</x:v>
      </x:c>
      <x:c r="C17" s="54" t="n">
        <x:f>SUM(C5:C16)</x:f>
        <x:v>45865.05</x:v>
      </x:c>
      <x:c r="D17" s="54" t="n">
        <x:f>SUM(D5:D16)</x:f>
        <x:v>49713.76</x:v>
      </x:c>
      <x:c r="E17" s="54" t="n">
        <x:f>SUM(E5:E16)</x:f>
        <x:v>-3848.7100000000028</x:v>
      </x:c>
      <x:c r="F17" s="54" t="n">
        <x:f>SUM(F5:F16)</x:f>
        <x:v>-49713.76</x:v>
      </x:c>
      <x:c r="G17" s="47"/>
      <x:c r="H17" s="54" t="n">
        <x:f>SUM(H5:H16)</x:f>
        <x:v>5434.999999999999</x:v>
      </x:c>
      <x:c r="I17" s="54" t="n">
        <x:f>SUM(I5:I16)</x:f>
        <x:v>496.07000000000005</x:v>
      </x:c>
      <x:c r="J17" s="54" t="n">
        <x:f>SUM(J5:J16)</x:f>
        <x:v>110.02</x:v>
      </x:c>
      <x:c r="K17" s="54" t="n">
        <x:f>SUM(K5:K16)</x:f>
        <x:v>815</x:v>
      </x:c>
      <x:c r="L17" s="54" t="n">
        <x:f>SUM(L5:L16)</x:f>
        <x:v>4509.95</x:v>
      </x:c>
      <x:c r="M17" s="54" t="n">
        <x:f>SUM(M5:M16)</x:f>
        <x:v>18639.31</x:v>
      </x:c>
      <x:c r="N17" s="54" t="n">
        <x:f>SUM(N5:N16)</x:f>
        <x:v>718.67</x:v>
      </x:c>
      <x:c r="O17" s="54" t="n">
        <x:f>SUM(O5:O16)</x:f>
        <x:v>1950.56</x:v>
      </x:c>
      <x:c r="P17" s="54" t="n">
        <x:f>SUM(P5:P16)</x:f>
        <x:v>7983.86</x:v>
      </x:c>
      <x:c r="Q17" s="54" t="n">
        <x:f>SUM(Q5:Q16)</x:f>
        <x:v>3060.3</x:v>
      </x:c>
      <x:c r="R17" s="54" t="n">
        <x:f>SUM(R5:R16)</x:f>
        <x:v>2944.96</x:v>
      </x:c>
      <x:c r="S17" s="54" t="n">
        <x:f>SUM(S5:S16)</x:f>
        <x:v>995.77</x:v>
      </x:c>
      <x:c r="T17" s="54" t="n">
        <x:f>SUM(T5:T16)</x:f>
        <x:v>2274.56</x:v>
      </x:c>
    </x:row>
    <x:row r="18">
      <x:c r="A18" s="47" t="str">
        <x:v>Mittel</x:v>
      </x:c>
      <x:c r="B18" s="54" t="n">
        <x:f>IFERROR(AVERAGE(B5:B16),0)</x:f>
        <x:v>0</x:v>
      </x:c>
      <x:c r="C18" s="54" t="n">
        <x:f>IFERROR(AVERAGE(C5:C16),0)</x:f>
        <x:v>7644.175</x:v>
      </x:c>
      <x:c r="D18" s="54" t="n">
        <x:f>IFERROR(AVERAGE(D5:D16),0)</x:f>
        <x:v>8285.626666666667</x:v>
      </x:c>
      <x:c r="E18" s="54" t="n">
        <x:f>IFERROR(AVERAGE(E5:E16),0)</x:f>
        <x:v>-320.7258333333336</x:v>
      </x:c>
      <x:c r="F18" s="54" t="n">
        <x:f>IFERROR(AVERAGE(F5:F16),0)</x:f>
        <x:v>-4142.8133333333335</x:v>
      </x:c>
      <x:c r="G18" s="47"/>
      <x:c r="H18" s="54" t="n">
        <x:f>IFERROR(AVERAGE(H5:H16),0)</x:f>
        <x:v>905.8333333333331</x:v>
      </x:c>
      <x:c r="I18" s="54" t="n">
        <x:f>IFERROR(AVERAGE(I5:I16),0)</x:f>
        <x:v>82.67833333333334</x:v>
      </x:c>
      <x:c r="J18" s="54" t="n">
        <x:f>IFERROR(AVERAGE(J5:J16),0)</x:f>
        <x:v>18.336666666666666</x:v>
      </x:c>
      <x:c r="K18" s="54" t="n">
        <x:f>IFERROR(AVERAGE(K5:K16),0)</x:f>
        <x:v>135.83333333333334</x:v>
      </x:c>
      <x:c r="L18" s="54" t="n">
        <x:f>IFERROR(AVERAGE(L5:L16),0)</x:f>
        <x:v>751.6583333333333</x:v>
      </x:c>
      <x:c r="M18" s="54" t="n">
        <x:f>IFERROR(AVERAGE(M5:M16),0)</x:f>
        <x:v>3106.5516666666667</x:v>
      </x:c>
      <x:c r="N18" s="54" t="n">
        <x:f>IFERROR(AVERAGE(N5:N16),0)</x:f>
        <x:v>119.77833333333332</x:v>
      </x:c>
      <x:c r="O18" s="54" t="n">
        <x:f>IFERROR(AVERAGE(O5:O16),0)</x:f>
        <x:v>325.0933333333333</x:v>
      </x:c>
      <x:c r="P18" s="54" t="n">
        <x:f>IFERROR(AVERAGE(P5:P16),0)</x:f>
        <x:v>1330.6433333333332</x:v>
      </x:c>
      <x:c r="Q18" s="54" t="n">
        <x:f>IFERROR(AVERAGE(Q5:Q16),0)</x:f>
        <x:v>510.05</x:v>
      </x:c>
      <x:c r="R18" s="54" t="n">
        <x:f>IFERROR(AVERAGE(R5:R16),0)</x:f>
        <x:v>490.82666666666665</x:v>
      </x:c>
      <x:c r="S18" s="54" t="n">
        <x:f>IFERROR(AVERAGE(S5:S16),0)</x:f>
        <x:v>199.154</x:v>
      </x:c>
      <x:c r="T18" s="54" t="n">
        <x:f>IFERROR(AVERAGE(T5:T16),0)</x:f>
        <x:v>379.0933333333333</x:v>
      </x:c>
    </x:row>
    <x:row r="21">
      <x:c r="A21" s="61" t="str">
        <x:v>Diagrammdaten</x:v>
      </x:c>
      <x:c r="F21" s="61" t="str">
        <x:v>Kategorien</x:v>
      </x:c>
    </x:row>
    <x:row r="22">
      <x:c r="A22" s="58" t="str">
        <x:v>Monat</x:v>
      </x:c>
      <x:c r="B22" s="58" t="str">
        <x:v>Einnahmen</x:v>
      </x:c>
      <x:c r="C22" s="58" t="str">
        <x:v>Ausgaben</x:v>
      </x:c>
      <x:c r="D22" s="58" t="str">
        <x:v>Saldo</x:v>
      </x:c>
      <x:c r="F22" s="60" t="str">
        <x:v>Kategorie</x:v>
      </x:c>
      <x:c r="G22" s="60" t="str">
        <x:v>Summe</x:v>
      </x:c>
    </x:row>
    <x:row r="23">
      <x:c r="A23" s="53" t="str">
        <x:f>A5</x:f>
        <x:v>Januar</x:v>
      </x:c>
      <x:c r="B23" s="53" t="n">
        <x:f>C5</x:f>
        <x:v>8718.92</x:v>
      </x:c>
      <x:c r="C23" s="53" t="n">
        <x:f>D5</x:f>
        <x:v>8431.380000000001</x:v>
      </x:c>
      <x:c r="D23" s="53" t="n">
        <x:f>E5</x:f>
        <x:v>287.53999999999905</x:v>
      </x:c>
      <x:c r="F23" t="str">
        <x:v>Lebensmittel</x:v>
      </x:c>
      <x:c r="G23" s="53" t="n">
        <x:f>H17</x:f>
        <x:v>5434.999999999999</x:v>
      </x:c>
    </x:row>
    <x:row r="24">
      <x:c r="A24" s="53" t="str">
        <x:f>A6</x:f>
        <x:v>Februar</x:v>
      </x:c>
      <x:c r="B24" s="53" t="n">
        <x:f>C6</x:f>
        <x:v>7885.33</x:v>
      </x:c>
      <x:c r="C24" s="53" t="n">
        <x:f>D6</x:f>
        <x:v>10840.530000000002</x:v>
      </x:c>
      <x:c r="D24" s="53" t="n">
        <x:f>E6</x:f>
        <x:v>-2955.2000000000025</x:v>
      </x:c>
      <x:c r="F24" t="str">
        <x:v>Kleidung</x:v>
      </x:c>
      <x:c r="G24" s="53" t="n">
        <x:f>I17</x:f>
        <x:v>496.07000000000005</x:v>
      </x:c>
    </x:row>
    <x:row r="25">
      <x:c r="A25" s="53" t="str">
        <x:f>A7</x:f>
        <x:v>März</x:v>
      </x:c>
      <x:c r="B25" s="53" t="n">
        <x:f>C7</x:f>
        <x:v>7472.36</x:v>
      </x:c>
      <x:c r="C25" s="53" t="n">
        <x:f>D7</x:f>
        <x:v>7581.679999999999</x:v>
      </x:c>
      <x:c r="D25" s="53" t="n">
        <x:f>E7</x:f>
        <x:v>-109.31999999999971</x:v>
      </x:c>
      <x:c r="F25" t="str">
        <x:v>Online</x:v>
      </x:c>
      <x:c r="G25" s="53" t="n">
        <x:f>J17</x:f>
        <x:v>110.02</x:v>
      </x:c>
    </x:row>
    <x:row r="26">
      <x:c r="A26" s="53" t="str">
        <x:f>A8</x:f>
        <x:v>April</x:v>
      </x:c>
      <x:c r="B26" s="53" t="n">
        <x:f>C8</x:f>
        <x:v>7119.56</x:v>
      </x:c>
      <x:c r="C26" s="53" t="n">
        <x:f>D8</x:f>
        <x:v>7797.359999999999</x:v>
      </x:c>
      <x:c r="D26" s="53" t="n">
        <x:f>E8</x:f>
        <x:v>-677.7999999999984</x:v>
      </x:c>
      <x:c r="F26" t="str">
        <x:v>Restaurant</x:v>
      </x:c>
      <x:c r="G26" s="53" t="n">
        <x:f>K17</x:f>
        <x:v>815</x:v>
      </x:c>
    </x:row>
    <x:row r="27">
      <x:c r="A27" s="53" t="str">
        <x:f>A9</x:f>
        <x:v>Mai</x:v>
      </x:c>
      <x:c r="B27" s="53" t="n">
        <x:f>C9</x:f>
        <x:v>7454.48</x:v>
      </x:c>
      <x:c r="C27" s="53" t="n">
        <x:f>D9</x:f>
        <x:v>8364.77</x:v>
      </x:c>
      <x:c r="D27" s="53" t="n">
        <x:f>E9</x:f>
        <x:v>-910.2900000000009</x:v>
      </x:c>
      <x:c r="F27" t="str">
        <x:v>Auto</x:v>
      </x:c>
      <x:c r="G27" s="53" t="n">
        <x:f>L17</x:f>
        <x:v>4509.95</x:v>
      </x:c>
    </x:row>
    <x:row r="28">
      <x:c r="A28" s="53" t="str">
        <x:f>A10</x:f>
        <x:v>Juni</x:v>
      </x:c>
      <x:c r="B28" s="53" t="n">
        <x:f>C10</x:f>
        <x:v>7214.4</x:v>
      </x:c>
      <x:c r="C28" s="53" t="n">
        <x:f>D10</x:f>
        <x:v>6698.04</x:v>
      </x:c>
      <x:c r="D28" s="53" t="n">
        <x:f>E10</x:f>
        <x:v>516.3599999999997</x:v>
      </x:c>
      <x:c r="F28" t="str">
        <x:v>Zu Hause</x:v>
      </x:c>
      <x:c r="G28" s="53" t="n">
        <x:f>M17</x:f>
        <x:v>18639.31</x:v>
      </x:c>
    </x:row>
    <x:row r="29">
      <x:c r="A29" s="53" t="str">
        <x:f>A11</x:f>
        <x:v>Juli</x:v>
      </x:c>
      <x:c r="B29" s="53" t="n">
        <x:f>C11</x:f>
        <x:v>0</x:v>
      </x:c>
      <x:c r="C29" s="53" t="str">
        <x:f>D11</x:f>
      </x:c>
      <x:c r="D29" s="53" t="n">
        <x:f>E11</x:f>
        <x:v>0</x:v>
      </x:c>
      <x:c r="F29" t="str">
        <x:v>Jamin</x:v>
      </x:c>
      <x:c r="G29" s="53" t="n">
        <x:f>N17</x:f>
        <x:v>718.67</x:v>
      </x:c>
    </x:row>
    <x:row r="30">
      <x:c r="A30" s="53" t="str">
        <x:f>A12</x:f>
        <x:v>August</x:v>
      </x:c>
      <x:c r="B30" s="53" t="n">
        <x:f>C12</x:f>
        <x:v>0</x:v>
      </x:c>
      <x:c r="C30" s="53" t="str">
        <x:f>D12</x:f>
      </x:c>
      <x:c r="D30" s="53" t="n">
        <x:f>E12</x:f>
        <x:v>0</x:v>
      </x:c>
      <x:c r="F30" t="str">
        <x:v>Fatima</x:v>
      </x:c>
      <x:c r="G30" s="53" t="n">
        <x:f>O17</x:f>
        <x:v>1950.56</x:v>
      </x:c>
    </x:row>
    <x:row r="31">
      <x:c r="A31" s="53" t="str">
        <x:f>A13</x:f>
        <x:v>September</x:v>
      </x:c>
      <x:c r="B31" s="53" t="n">
        <x:f>C13</x:f>
        <x:v>0</x:v>
      </x:c>
      <x:c r="C31" s="53" t="str">
        <x:f>D13</x:f>
      </x:c>
      <x:c r="D31" s="53" t="n">
        <x:f>E13</x:f>
        <x:v>0</x:v>
      </x:c>
      <x:c r="F31" t="str">
        <x:v>Mobin</x:v>
      </x:c>
      <x:c r="G31" s="53" t="n">
        <x:f>P17</x:f>
        <x:v>7983.86</x:v>
      </x:c>
    </x:row>
    <x:row r="32">
      <x:c r="A32" s="53" t="str">
        <x:f>A14</x:f>
        <x:v>Oktober</x:v>
      </x:c>
      <x:c r="B32" s="53" t="n">
        <x:f>C14</x:f>
        <x:v>0</x:v>
      </x:c>
      <x:c r="C32" s="53" t="str">
        <x:f>D14</x:f>
      </x:c>
      <x:c r="D32" s="53" t="n">
        <x:f>E14</x:f>
        <x:v>0</x:v>
      </x:c>
      <x:c r="F32" t="str">
        <x:v>Mobina</x:v>
      </x:c>
      <x:c r="G32" s="53" t="n">
        <x:f>Q17</x:f>
        <x:v>3060.3</x:v>
      </x:c>
    </x:row>
    <x:row r="33">
      <x:c r="A33" s="53" t="str">
        <x:f>A15</x:f>
        <x:v>November</x:v>
      </x:c>
      <x:c r="B33" s="53" t="n">
        <x:f>C15</x:f>
        <x:v>0</x:v>
      </x:c>
      <x:c r="C33" s="53" t="str">
        <x:f>D15</x:f>
      </x:c>
      <x:c r="D33" s="53" t="n">
        <x:f>E15</x:f>
        <x:v>0</x:v>
      </x:c>
      <x:c r="F33" t="str">
        <x:v>Meine Eltern</x:v>
      </x:c>
      <x:c r="G33" s="53" t="n">
        <x:f>R17</x:f>
        <x:v>2944.96</x:v>
      </x:c>
    </x:row>
    <x:row r="34">
      <x:c r="A34" s="53" t="str">
        <x:f>A16</x:f>
        <x:v>Dezember</x:v>
      </x:c>
      <x:c r="B34" s="53" t="str">
        <x:f>C16</x:f>
      </x:c>
      <x:c r="C34" s="53" t="str">
        <x:f>D16</x:f>
      </x:c>
      <x:c r="D34" s="53" t="n">
        <x:f>E16</x:f>
        <x:v>0</x:v>
      </x:c>
      <x:c r="F34" t="str">
        <x:v>Moschee</x:v>
      </x:c>
      <x:c r="G34" s="53" t="n">
        <x:f>S17</x:f>
        <x:v>995.77</x:v>
      </x:c>
    </x:row>
    <x:row r="35">
      <x:c r="F35" t="str">
        <x:v>Ausflug</x:v>
      </x:c>
      <x:c r="G35" s="53" t="n">
        <x:f>T17</x:f>
        <x:v>2274.56</x:v>
      </x:c>
    </x:row>
  </x:sheetData>
  <x:mergeCells>
    <x:mergeCell ref="A1:T1"/>
    <x:mergeCell ref="A2:T2"/>
  </x:mergeCells>
  <x:pageMargins left="0.7" right="0.7" top="0.75" bottom="0.75" header="0.3" footer="0.3"/>
  <x:drawing xmlns:r="http://schemas.openxmlformats.org/officeDocument/2006/relationships" r:id="R8f31cc2022fa4313"/>
</x:worksheet>
</file>